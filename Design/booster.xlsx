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rdware\73_PFS122\"/>
    </mc:Choice>
  </mc:AlternateContent>
  <xr:revisionPtr revIDLastSave="0" documentId="13_ncr:1_{B8BC5F12-78D6-4E4D-AD07-0DE497208F5E}" xr6:coauthVersionLast="47" xr6:coauthVersionMax="47" xr10:uidLastSave="{00000000-0000-0000-0000-000000000000}"/>
  <bookViews>
    <workbookView xWindow="-108" yWindow="-108" windowWidth="30936" windowHeight="16776" activeTab="1" xr2:uid="{E1E1ECF7-BCFE-4D5D-B303-254501912387}"/>
  </bookViews>
  <sheets>
    <sheet name="calc" sheetId="1" r:id="rId1"/>
    <sheet name="V_BOST Sweep" sheetId="2" r:id="rId2"/>
    <sheet name="VPP_VDD" sheetId="3" r:id="rId3"/>
  </sheets>
  <definedNames>
    <definedName name="_xlchart.v1.0" hidden="1">'V_BOST Sweep'!$B$9:$B$19</definedName>
    <definedName name="_xlchart.v1.1" hidden="1">'V_BOST Sweep'!$B$9:$B$29</definedName>
    <definedName name="_xlchart.v1.2" hidden="1">'V_BOST Sweep'!$G$5</definedName>
    <definedName name="_xlchart.v1.3" hidden="1">'V_BOST Sweep'!$G$9:$G$29</definedName>
    <definedName name="_xlchart.v1.4" hidden="1">'V_BOST Sweep'!$P$5</definedName>
    <definedName name="_xlchart.v1.5" hidden="1">'V_BOST Sweep'!$P$9:$P$19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2" l="1"/>
  <c r="H14" i="2" s="1"/>
  <c r="I14" i="2" s="1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Q19" i="2"/>
  <c r="R19" i="2" s="1"/>
  <c r="Q18" i="2"/>
  <c r="R18" i="2" s="1"/>
  <c r="Q17" i="2"/>
  <c r="R17" i="2" s="1"/>
  <c r="Q16" i="2"/>
  <c r="R16" i="2" s="1"/>
  <c r="Q15" i="2"/>
  <c r="R15" i="2" s="1"/>
  <c r="Q14" i="2"/>
  <c r="R14" i="2" s="1"/>
  <c r="Q13" i="2"/>
  <c r="R13" i="2" s="1"/>
  <c r="Q12" i="2"/>
  <c r="R12" i="2" s="1"/>
  <c r="Q11" i="2"/>
  <c r="R11" i="2" s="1"/>
  <c r="Q10" i="2"/>
  <c r="R10" i="2" s="1"/>
  <c r="Q9" i="2"/>
  <c r="R9" i="2" s="1"/>
  <c r="Q6" i="2"/>
  <c r="R25" i="1"/>
  <c r="Q14" i="1"/>
  <c r="Q11" i="1"/>
  <c r="Q9" i="1"/>
  <c r="K30" i="1"/>
  <c r="L30" i="1"/>
  <c r="J30" i="1"/>
  <c r="K29" i="1"/>
  <c r="L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L19" i="1" s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H16" i="2" l="1"/>
  <c r="I16" i="2" s="1"/>
  <c r="H18" i="2"/>
  <c r="I18" i="2" s="1"/>
  <c r="H9" i="2"/>
  <c r="I9" i="2" s="1"/>
  <c r="H15" i="2"/>
  <c r="I15" i="2" s="1"/>
  <c r="H17" i="2"/>
  <c r="I17" i="2" s="1"/>
  <c r="H22" i="2"/>
  <c r="I22" i="2" s="1"/>
  <c r="H24" i="2"/>
  <c r="I24" i="2" s="1"/>
  <c r="H26" i="2"/>
  <c r="I26" i="2" s="1"/>
  <c r="H27" i="2"/>
  <c r="I27" i="2" s="1"/>
  <c r="H20" i="2"/>
  <c r="I20" i="2" s="1"/>
  <c r="H28" i="2"/>
  <c r="I28" i="2" s="1"/>
  <c r="H19" i="2"/>
  <c r="I19" i="2" s="1"/>
  <c r="H21" i="2"/>
  <c r="I21" i="2" s="1"/>
  <c r="H29" i="2"/>
  <c r="I29" i="2" s="1"/>
  <c r="H23" i="2"/>
  <c r="I23" i="2" s="1"/>
  <c r="H25" i="2"/>
  <c r="I25" i="2" s="1"/>
  <c r="H10" i="2"/>
  <c r="I10" i="2" s="1"/>
  <c r="H11" i="2"/>
  <c r="I11" i="2" s="1"/>
  <c r="H12" i="2"/>
  <c r="I12" i="2" s="1"/>
  <c r="H13" i="2"/>
  <c r="I13" i="2" s="1"/>
  <c r="L27" i="1"/>
  <c r="L28" i="1"/>
  <c r="L26" i="1"/>
  <c r="L25" i="1"/>
  <c r="L24" i="1"/>
  <c r="L23" i="1"/>
  <c r="L22" i="1"/>
  <c r="L21" i="1"/>
  <c r="L20" i="1"/>
  <c r="L18" i="1"/>
  <c r="L17" i="1"/>
  <c r="L16" i="1"/>
  <c r="L15" i="1"/>
  <c r="L14" i="1"/>
  <c r="L13" i="1"/>
  <c r="L12" i="1"/>
  <c r="L11" i="1"/>
  <c r="L10" i="1"/>
  <c r="L9" i="1"/>
  <c r="L8" i="1"/>
  <c r="L7" i="1"/>
  <c r="L5" i="1"/>
  <c r="L6" i="1"/>
</calcChain>
</file>

<file path=xl/sharedStrings.xml><?xml version="1.0" encoding="utf-8"?>
<sst xmlns="http://schemas.openxmlformats.org/spreadsheetml/2006/main" count="536" uniqueCount="40">
  <si>
    <t>R1</t>
  </si>
  <si>
    <t>fpwm</t>
  </si>
  <si>
    <t>DC</t>
  </si>
  <si>
    <t>Vout [V]</t>
  </si>
  <si>
    <t>Iout [mA]</t>
  </si>
  <si>
    <t>Iin [mA]</t>
  </si>
  <si>
    <t>Pin [W]</t>
  </si>
  <si>
    <t>Pout [W]</t>
  </si>
  <si>
    <t>eta [%]</t>
  </si>
  <si>
    <t>L1 [µH]</t>
  </si>
  <si>
    <t>Iswitchav [mA]</t>
  </si>
  <si>
    <t>Switcher target</t>
  </si>
  <si>
    <t>15V</t>
  </si>
  <si>
    <t>1m</t>
  </si>
  <si>
    <t>VREF</t>
  </si>
  <si>
    <t>calibration:</t>
  </si>
  <si>
    <t>VDD:5.157V</t>
  </si>
  <si>
    <t>(VREFINT</t>
  </si>
  <si>
    <t>raw</t>
  </si>
  <si>
    <t>avg:238)</t>
  </si>
  <si>
    <t>Duty:</t>
  </si>
  <si>
    <t>/47</t>
  </si>
  <si>
    <t>Boost:[V]</t>
  </si>
  <si>
    <t>P [MW]</t>
  </si>
  <si>
    <t>R</t>
  </si>
  <si>
    <t>I [A]</t>
  </si>
  <si>
    <t xml:space="preserve">V </t>
  </si>
  <si>
    <t>VDD:5.179V</t>
  </si>
  <si>
    <t>avg:237)</t>
  </si>
  <si>
    <t>fclk=1MHz</t>
  </si>
  <si>
    <t>VDD</t>
  </si>
  <si>
    <t>VPP</t>
  </si>
  <si>
    <t>Boost</t>
  </si>
  <si>
    <t>50mV/dev</t>
  </si>
  <si>
    <t>1µs/div</t>
  </si>
  <si>
    <t>64mV VPP</t>
  </si>
  <si>
    <t>Rload=850 Ohm</t>
  </si>
  <si>
    <t>Rload=6100 Ohm</t>
  </si>
  <si>
    <t>Vboost ~15V</t>
  </si>
  <si>
    <t>Vboost ~18V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</si>
</sst>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11" fontId="0" fillId="3" borderId="0" xfId="0" applyNumberFormat="1" applyFill="1"/>
    <xf numFmtId="0" fontId="0" fillId="3" borderId="0" xfId="0" applyFill="1"/>
    <xf numFmtId="0" fontId="0" fillId="4" borderId="0" xfId="0" applyFill="1"/>
    <xf numFmtId="9" fontId="0" fillId="4" borderId="0" xfId="1" applyFont="1" applyFill="1"/>
    <xf numFmtId="0" fontId="0" fillId="5" borderId="0" xfId="0" applyFill="1"/>
    <xf numFmtId="0" fontId="3" fillId="3" borderId="0" xfId="0" applyFont="1" applyFill="1"/>
    <xf numFmtId="0" fontId="2" fillId="4" borderId="0" xfId="0" applyFont="1" applyFill="1"/>
    <xf numFmtId="0" fontId="2" fillId="6" borderId="0" xfId="0" applyFont="1" applyFill="1"/>
    <xf numFmtId="0" fontId="2" fillId="5" borderId="0" xfId="0" applyFont="1" applyFill="1"/>
    <xf numFmtId="11" fontId="2" fillId="3" borderId="0" xfId="0" applyNumberFormat="1" applyFont="1" applyFill="1"/>
    <xf numFmtId="0" fontId="2" fillId="3" borderId="0" xfId="0" applyFont="1" applyFill="1"/>
    <xf numFmtId="0" fontId="2" fillId="2" borderId="0" xfId="0" applyFont="1" applyFill="1"/>
    <xf numFmtId="9" fontId="2" fillId="4" borderId="0" xfId="1" applyFont="1" applyFill="1"/>
    <xf numFmtId="11" fontId="0" fillId="0" borderId="0" xfId="0" applyNumberFormat="1"/>
    <xf numFmtId="11" fontId="0" fillId="5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Booster</a:t>
            </a:r>
            <a:r>
              <a:rPr lang="de-DE" baseline="0"/>
              <a:t> Output Voltage vs. </a:t>
            </a:r>
            <a:br>
              <a:rPr lang="de-DE" baseline="0"/>
            </a:br>
            <a:r>
              <a:rPr lang="de-DE" baseline="0"/>
              <a:t>Duty Cycle and Load @ 1Mhz</a:t>
            </a:r>
            <a:endParaRPr lang="de-DE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121794698343121"/>
          <c:y val="0.28418999708369785"/>
          <c:w val="0.76406521994029097"/>
          <c:h val="0.49165901137357831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'V_BOST Sweep'!$G$5</c:f>
              <c:strCache>
                <c:ptCount val="1"/>
                <c:pt idx="0">
                  <c:v>Rload=850 Ohm</c:v>
                </c:pt>
              </c:strCache>
            </c:strRef>
          </c:tx>
          <c:xVal>
            <c:numRef>
              <c:f>'V_BOST Sweep'!$B$9:$B$29</c:f>
              <c:numCache>
                <c:formatCode>General</c:formatCode>
                <c:ptCount val="21"/>
                <c:pt idx="0">
                  <c:v>0</c:v>
                </c:pt>
                <c:pt idx="1">
                  <c:v>2.1276595744680851E-2</c:v>
                </c:pt>
                <c:pt idx="2">
                  <c:v>4.2553191489361701E-2</c:v>
                </c:pt>
                <c:pt idx="3">
                  <c:v>6.3829787234042548E-2</c:v>
                </c:pt>
                <c:pt idx="4">
                  <c:v>8.5106382978723402E-2</c:v>
                </c:pt>
                <c:pt idx="5">
                  <c:v>0.10638297872340426</c:v>
                </c:pt>
                <c:pt idx="6">
                  <c:v>0.1276595744680851</c:v>
                </c:pt>
                <c:pt idx="7">
                  <c:v>0.14893617021276595</c:v>
                </c:pt>
                <c:pt idx="8">
                  <c:v>0.1702127659574468</c:v>
                </c:pt>
                <c:pt idx="9">
                  <c:v>0.19148936170212766</c:v>
                </c:pt>
                <c:pt idx="10">
                  <c:v>0.21276595744680851</c:v>
                </c:pt>
                <c:pt idx="11">
                  <c:v>0.23404255319148937</c:v>
                </c:pt>
                <c:pt idx="12">
                  <c:v>0.25531914893617019</c:v>
                </c:pt>
                <c:pt idx="13">
                  <c:v>0.27659574468085107</c:v>
                </c:pt>
                <c:pt idx="14">
                  <c:v>0.2978723404255319</c:v>
                </c:pt>
                <c:pt idx="15">
                  <c:v>0.31914893617021278</c:v>
                </c:pt>
                <c:pt idx="16">
                  <c:v>0.34042553191489361</c:v>
                </c:pt>
                <c:pt idx="17">
                  <c:v>0.36170212765957449</c:v>
                </c:pt>
                <c:pt idx="18">
                  <c:v>0.38297872340425532</c:v>
                </c:pt>
                <c:pt idx="19">
                  <c:v>0.40425531914893614</c:v>
                </c:pt>
                <c:pt idx="20">
                  <c:v>0.42553191489361702</c:v>
                </c:pt>
              </c:numCache>
            </c:numRef>
          </c:xVal>
          <c:yVal>
            <c:numRef>
              <c:f>'V_BOST Sweep'!$G$9:$G$29</c:f>
              <c:numCache>
                <c:formatCode>General</c:formatCode>
                <c:ptCount val="21"/>
                <c:pt idx="0">
                  <c:v>4.88</c:v>
                </c:pt>
                <c:pt idx="1">
                  <c:v>5.13</c:v>
                </c:pt>
                <c:pt idx="2">
                  <c:v>5.44</c:v>
                </c:pt>
                <c:pt idx="3">
                  <c:v>5.77</c:v>
                </c:pt>
                <c:pt idx="4">
                  <c:v>6.33</c:v>
                </c:pt>
                <c:pt idx="5">
                  <c:v>6.82</c:v>
                </c:pt>
                <c:pt idx="6">
                  <c:v>7.46</c:v>
                </c:pt>
                <c:pt idx="7">
                  <c:v>8.3000000000000007</c:v>
                </c:pt>
                <c:pt idx="8">
                  <c:v>9.0399999999999991</c:v>
                </c:pt>
                <c:pt idx="9">
                  <c:v>9.99</c:v>
                </c:pt>
                <c:pt idx="10">
                  <c:v>11</c:v>
                </c:pt>
                <c:pt idx="11">
                  <c:v>12.2</c:v>
                </c:pt>
                <c:pt idx="12">
                  <c:v>13.4</c:v>
                </c:pt>
                <c:pt idx="13">
                  <c:v>14.75</c:v>
                </c:pt>
                <c:pt idx="14">
                  <c:v>15.92</c:v>
                </c:pt>
                <c:pt idx="15">
                  <c:v>17.34</c:v>
                </c:pt>
                <c:pt idx="16">
                  <c:v>18.350000000000001</c:v>
                </c:pt>
                <c:pt idx="17">
                  <c:v>19.45</c:v>
                </c:pt>
                <c:pt idx="18">
                  <c:v>20.23</c:v>
                </c:pt>
                <c:pt idx="19">
                  <c:v>20.87</c:v>
                </c:pt>
                <c:pt idx="20">
                  <c:v>21.27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172-42E8-8978-C1FB8EB8FA54}"/>
            </c:ext>
          </c:extLst>
        </c:ser>
        <c:ser>
          <c:idx val="0"/>
          <c:order val="1"/>
          <c:tx>
            <c:strRef>
              <c:f>'V_BOST Sweep'!$P$5</c:f>
              <c:strCache>
                <c:ptCount val="1"/>
                <c:pt idx="0">
                  <c:v>Rload=6100 Ohm</c:v>
                </c:pt>
              </c:strCache>
            </c:strRef>
          </c:tx>
          <c:spPr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'V_BOST Sweep'!$B$9:$B$19</c:f>
              <c:numCache>
                <c:formatCode>General</c:formatCode>
                <c:ptCount val="11"/>
                <c:pt idx="0">
                  <c:v>0</c:v>
                </c:pt>
                <c:pt idx="1">
                  <c:v>2.1276595744680851E-2</c:v>
                </c:pt>
                <c:pt idx="2">
                  <c:v>4.2553191489361701E-2</c:v>
                </c:pt>
                <c:pt idx="3">
                  <c:v>6.3829787234042548E-2</c:v>
                </c:pt>
                <c:pt idx="4">
                  <c:v>8.5106382978723402E-2</c:v>
                </c:pt>
                <c:pt idx="5">
                  <c:v>0.10638297872340426</c:v>
                </c:pt>
                <c:pt idx="6">
                  <c:v>0.1276595744680851</c:v>
                </c:pt>
                <c:pt idx="7">
                  <c:v>0.14893617021276595</c:v>
                </c:pt>
                <c:pt idx="8">
                  <c:v>0.1702127659574468</c:v>
                </c:pt>
                <c:pt idx="9">
                  <c:v>0.19148936170212766</c:v>
                </c:pt>
                <c:pt idx="10">
                  <c:v>0.21276595744680851</c:v>
                </c:pt>
              </c:numCache>
            </c:numRef>
          </c:xVal>
          <c:yVal>
            <c:numRef>
              <c:f>'V_BOST Sweep'!$P$9:$P$19</c:f>
              <c:numCache>
                <c:formatCode>General</c:formatCode>
                <c:ptCount val="11"/>
                <c:pt idx="0">
                  <c:v>4.97</c:v>
                </c:pt>
                <c:pt idx="1">
                  <c:v>6.02</c:v>
                </c:pt>
                <c:pt idx="2">
                  <c:v>7</c:v>
                </c:pt>
                <c:pt idx="3">
                  <c:v>8.24</c:v>
                </c:pt>
                <c:pt idx="4">
                  <c:v>9.6300000000000008</c:v>
                </c:pt>
                <c:pt idx="5">
                  <c:v>11.23</c:v>
                </c:pt>
                <c:pt idx="6">
                  <c:v>12.84</c:v>
                </c:pt>
                <c:pt idx="7">
                  <c:v>14.54</c:v>
                </c:pt>
                <c:pt idx="8">
                  <c:v>16.420000000000002</c:v>
                </c:pt>
                <c:pt idx="9">
                  <c:v>18.829999999999998</c:v>
                </c:pt>
                <c:pt idx="10">
                  <c:v>21.05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172-42E8-8978-C1FB8EB8F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4399"/>
        <c:axId val="1857803983"/>
      </c:scatterChart>
      <c:valAx>
        <c:axId val="1857804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de-DE" sz="1100"/>
                  <a:t>Booster Duty Cycle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57803983"/>
        <c:crosses val="autoZero"/>
        <c:crossBetween val="midCat"/>
      </c:valAx>
      <c:valAx>
        <c:axId val="185780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de-DE" sz="1100"/>
                  <a:t>Boster Voltage [V]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57804399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3198694879634889"/>
          <c:y val="0.55742855059784191"/>
          <c:w val="0.28760068006963047"/>
          <c:h val="0.16743438320209975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  <c:extLst/>
  </c:chart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'V_BOST Sweep'!$P$8</c:f>
              <c:strCache>
                <c:ptCount val="1"/>
                <c:pt idx="0">
                  <c:v>V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'V_BOST Sweep'!$M$9:$M$19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'V_BOST Sweep'!$P$9:$P$19</c:f>
              <c:numCache>
                <c:formatCode>General</c:formatCode>
                <c:ptCount val="11"/>
                <c:pt idx="0">
                  <c:v>4.97</c:v>
                </c:pt>
                <c:pt idx="1">
                  <c:v>6.02</c:v>
                </c:pt>
                <c:pt idx="2">
                  <c:v>7</c:v>
                </c:pt>
                <c:pt idx="3">
                  <c:v>8.24</c:v>
                </c:pt>
                <c:pt idx="4">
                  <c:v>9.6300000000000008</c:v>
                </c:pt>
                <c:pt idx="5">
                  <c:v>11.23</c:v>
                </c:pt>
                <c:pt idx="6">
                  <c:v>12.84</c:v>
                </c:pt>
                <c:pt idx="7">
                  <c:v>14.54</c:v>
                </c:pt>
                <c:pt idx="8">
                  <c:v>16.420000000000002</c:v>
                </c:pt>
                <c:pt idx="9">
                  <c:v>18.829999999999998</c:v>
                </c:pt>
                <c:pt idx="10">
                  <c:v>21.05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42-4CC7-AF86-27A81557C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4399"/>
        <c:axId val="1857803983"/>
      </c:scatterChart>
      <c:valAx>
        <c:axId val="1857804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57803983"/>
        <c:crosses val="autoZero"/>
        <c:crossBetween val="midCat"/>
      </c:valAx>
      <c:valAx>
        <c:axId val="185780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57804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Booster</a:t>
            </a:r>
            <a:r>
              <a:rPr lang="de-DE" baseline="0"/>
              <a:t> Output Current vs. </a:t>
            </a:r>
            <a:br>
              <a:rPr lang="de-DE" baseline="0"/>
            </a:br>
            <a:r>
              <a:rPr lang="de-DE" baseline="0"/>
              <a:t>Duty Cycle and Load @ 1Mhz</a:t>
            </a:r>
            <a:endParaRPr lang="de-DE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121794698343121"/>
          <c:y val="0.28418999708369785"/>
          <c:w val="0.76406521994029097"/>
          <c:h val="0.49165901137357831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'V_BOST Sweep'!$G$5</c:f>
              <c:strCache>
                <c:ptCount val="1"/>
                <c:pt idx="0">
                  <c:v>Rload=850 Ohm</c:v>
                </c:pt>
              </c:strCache>
            </c:strRef>
          </c:tx>
          <c:xVal>
            <c:numRef>
              <c:f>'V_BOST Sweep'!$B$9:$B$29</c:f>
              <c:numCache>
                <c:formatCode>General</c:formatCode>
                <c:ptCount val="21"/>
                <c:pt idx="0">
                  <c:v>0</c:v>
                </c:pt>
                <c:pt idx="1">
                  <c:v>2.1276595744680851E-2</c:v>
                </c:pt>
                <c:pt idx="2">
                  <c:v>4.2553191489361701E-2</c:v>
                </c:pt>
                <c:pt idx="3">
                  <c:v>6.3829787234042548E-2</c:v>
                </c:pt>
                <c:pt idx="4">
                  <c:v>8.5106382978723402E-2</c:v>
                </c:pt>
                <c:pt idx="5">
                  <c:v>0.10638297872340426</c:v>
                </c:pt>
                <c:pt idx="6">
                  <c:v>0.1276595744680851</c:v>
                </c:pt>
                <c:pt idx="7">
                  <c:v>0.14893617021276595</c:v>
                </c:pt>
                <c:pt idx="8">
                  <c:v>0.1702127659574468</c:v>
                </c:pt>
                <c:pt idx="9">
                  <c:v>0.19148936170212766</c:v>
                </c:pt>
                <c:pt idx="10">
                  <c:v>0.21276595744680851</c:v>
                </c:pt>
                <c:pt idx="11">
                  <c:v>0.23404255319148937</c:v>
                </c:pt>
                <c:pt idx="12">
                  <c:v>0.25531914893617019</c:v>
                </c:pt>
                <c:pt idx="13">
                  <c:v>0.27659574468085107</c:v>
                </c:pt>
                <c:pt idx="14">
                  <c:v>0.2978723404255319</c:v>
                </c:pt>
                <c:pt idx="15">
                  <c:v>0.31914893617021278</c:v>
                </c:pt>
                <c:pt idx="16">
                  <c:v>0.34042553191489361</c:v>
                </c:pt>
                <c:pt idx="17">
                  <c:v>0.36170212765957449</c:v>
                </c:pt>
                <c:pt idx="18">
                  <c:v>0.38297872340425532</c:v>
                </c:pt>
                <c:pt idx="19">
                  <c:v>0.40425531914893614</c:v>
                </c:pt>
                <c:pt idx="20">
                  <c:v>0.42553191489361702</c:v>
                </c:pt>
              </c:numCache>
            </c:numRef>
          </c:xVal>
          <c:yVal>
            <c:numRef>
              <c:f>'V_BOST Sweep'!$H$9:$H$29</c:f>
              <c:numCache>
                <c:formatCode>General</c:formatCode>
                <c:ptCount val="21"/>
                <c:pt idx="0">
                  <c:v>5.6810244470314316E-3</c:v>
                </c:pt>
                <c:pt idx="1">
                  <c:v>5.9720605355064026E-3</c:v>
                </c:pt>
                <c:pt idx="2">
                  <c:v>6.3329452852153674E-3</c:v>
                </c:pt>
                <c:pt idx="3">
                  <c:v>6.7171129220023277E-3</c:v>
                </c:pt>
                <c:pt idx="4">
                  <c:v>7.3690337601862634E-3</c:v>
                </c:pt>
                <c:pt idx="5">
                  <c:v>7.9394644935972068E-3</c:v>
                </c:pt>
                <c:pt idx="6">
                  <c:v>8.6845168800931318E-3</c:v>
                </c:pt>
                <c:pt idx="7">
                  <c:v>9.6623981373690354E-3</c:v>
                </c:pt>
                <c:pt idx="8">
                  <c:v>1.0523864959254947E-2</c:v>
                </c:pt>
                <c:pt idx="9">
                  <c:v>1.1629802095459838E-2</c:v>
                </c:pt>
                <c:pt idx="10">
                  <c:v>1.2805587892898719E-2</c:v>
                </c:pt>
                <c:pt idx="11">
                  <c:v>1.420256111757858E-2</c:v>
                </c:pt>
                <c:pt idx="12">
                  <c:v>1.559953434225844E-2</c:v>
                </c:pt>
                <c:pt idx="13">
                  <c:v>1.7171129220023285E-2</c:v>
                </c:pt>
                <c:pt idx="14">
                  <c:v>1.8533178114086148E-2</c:v>
                </c:pt>
                <c:pt idx="15">
                  <c:v>2.0186263096623983E-2</c:v>
                </c:pt>
                <c:pt idx="16">
                  <c:v>2.1362048894062867E-2</c:v>
                </c:pt>
                <c:pt idx="17">
                  <c:v>2.2642607683352734E-2</c:v>
                </c:pt>
                <c:pt idx="18">
                  <c:v>2.3550640279394644E-2</c:v>
                </c:pt>
                <c:pt idx="19">
                  <c:v>2.4295692665890573E-2</c:v>
                </c:pt>
                <c:pt idx="20">
                  <c:v>2.4761350407450523E-2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25-45C2-9874-FE6C9C70D084}"/>
            </c:ext>
          </c:extLst>
        </c:ser>
        <c:ser>
          <c:idx val="0"/>
          <c:order val="1"/>
          <c:tx>
            <c:strRef>
              <c:f>'V_BOST Sweep'!$P$5</c:f>
              <c:strCache>
                <c:ptCount val="1"/>
                <c:pt idx="0">
                  <c:v>Rload=6100 Ohm</c:v>
                </c:pt>
              </c:strCache>
            </c:strRef>
          </c:tx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'V_BOST Sweep'!$B$9:$B$19</c:f>
              <c:numCache>
                <c:formatCode>General</c:formatCode>
                <c:ptCount val="11"/>
                <c:pt idx="0">
                  <c:v>0</c:v>
                </c:pt>
                <c:pt idx="1">
                  <c:v>2.1276595744680851E-2</c:v>
                </c:pt>
                <c:pt idx="2">
                  <c:v>4.2553191489361701E-2</c:v>
                </c:pt>
                <c:pt idx="3">
                  <c:v>6.3829787234042548E-2</c:v>
                </c:pt>
                <c:pt idx="4">
                  <c:v>8.5106382978723402E-2</c:v>
                </c:pt>
                <c:pt idx="5">
                  <c:v>0.10638297872340426</c:v>
                </c:pt>
                <c:pt idx="6">
                  <c:v>0.1276595744680851</c:v>
                </c:pt>
                <c:pt idx="7">
                  <c:v>0.14893617021276595</c:v>
                </c:pt>
                <c:pt idx="8">
                  <c:v>0.1702127659574468</c:v>
                </c:pt>
                <c:pt idx="9">
                  <c:v>0.19148936170212766</c:v>
                </c:pt>
                <c:pt idx="10">
                  <c:v>0.21276595744680851</c:v>
                </c:pt>
              </c:numCache>
            </c:numRef>
          </c:xVal>
          <c:yVal>
            <c:numRef>
              <c:f>'V_BOST Sweep'!$Q$9:$Q$19</c:f>
              <c:numCache>
                <c:formatCode>General</c:formatCode>
                <c:ptCount val="11"/>
                <c:pt idx="0">
                  <c:v>8.1475409836065567E-4</c:v>
                </c:pt>
                <c:pt idx="1">
                  <c:v>9.8688524590163917E-4</c:v>
                </c:pt>
                <c:pt idx="2">
                  <c:v>1.1475409836065574E-3</c:v>
                </c:pt>
                <c:pt idx="3">
                  <c:v>1.3508196721311477E-3</c:v>
                </c:pt>
                <c:pt idx="4">
                  <c:v>1.578688524590164E-3</c:v>
                </c:pt>
                <c:pt idx="5">
                  <c:v>1.8409836065573771E-3</c:v>
                </c:pt>
                <c:pt idx="6">
                  <c:v>2.1049180327868851E-3</c:v>
                </c:pt>
                <c:pt idx="7">
                  <c:v>2.3836065573770489E-3</c:v>
                </c:pt>
                <c:pt idx="8">
                  <c:v>2.6918032786885249E-3</c:v>
                </c:pt>
                <c:pt idx="9">
                  <c:v>3.086885245901639E-3</c:v>
                </c:pt>
                <c:pt idx="10">
                  <c:v>3.4508196721311475E-3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25-45C2-9874-FE6C9C70D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4399"/>
        <c:axId val="1857803983"/>
      </c:scatterChart>
      <c:valAx>
        <c:axId val="1857804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de-DE" sz="1100"/>
                  <a:t>Booster Duty Cycle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57803983"/>
        <c:crosses val="autoZero"/>
        <c:crossBetween val="midCat"/>
      </c:valAx>
      <c:valAx>
        <c:axId val="185780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de-DE" sz="1100"/>
                  <a:t>Current [A]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57804399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3198694879634889"/>
          <c:y val="0.55742855059784191"/>
          <c:w val="0.28760068006963047"/>
          <c:h val="0.16743438320209975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  <c:extLst/>
  </c:chart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Vpp vs. Duty</a:t>
            </a:r>
            <a:r>
              <a:rPr lang="de-DE" baseline="0"/>
              <a:t> Cycle and V_Boost</a:t>
            </a:r>
            <a:endParaRPr lang="de-DE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548381452318461"/>
          <c:y val="0.19907407407407407"/>
          <c:w val="0.7815310586176728"/>
          <c:h val="0.59535505978419367"/>
        </c:manualLayout>
      </c:layout>
      <c:scatterChart>
        <c:scatterStyle val="lineMarker"/>
        <c:varyColors val="0"/>
        <c:ser>
          <c:idx val="1"/>
          <c:order val="0"/>
          <c:tx>
            <c:strRef>
              <c:f>VPP_VDD!$T$3</c:f>
              <c:strCache>
                <c:ptCount val="1"/>
                <c:pt idx="0">
                  <c:v>Vboost ~15V</c:v>
                </c:pt>
              </c:strCache>
            </c:strRef>
          </c:tx>
          <c:spPr>
            <a:ln w="19050">
              <a:noFill/>
            </a:ln>
          </c:spPr>
          <c:xVal>
            <c:numRef>
              <c:f>VPP_VDD!$A$5:$A$52</c:f>
              <c:numCache>
                <c:formatCode>General</c:formatCode>
                <c:ptCount val="48"/>
                <c:pt idx="0">
                  <c:v>0</c:v>
                </c:pt>
                <c:pt idx="1">
                  <c:v>2.1276595744680851E-2</c:v>
                </c:pt>
                <c:pt idx="2">
                  <c:v>4.2553191489361701E-2</c:v>
                </c:pt>
                <c:pt idx="3">
                  <c:v>6.3829787234042548E-2</c:v>
                </c:pt>
                <c:pt idx="4">
                  <c:v>8.5106382978723402E-2</c:v>
                </c:pt>
                <c:pt idx="5">
                  <c:v>0.10638297872340426</c:v>
                </c:pt>
                <c:pt idx="6">
                  <c:v>0.1276595744680851</c:v>
                </c:pt>
                <c:pt idx="7">
                  <c:v>0.14893617021276595</c:v>
                </c:pt>
                <c:pt idx="8">
                  <c:v>0.1702127659574468</c:v>
                </c:pt>
                <c:pt idx="9">
                  <c:v>0.19148936170212766</c:v>
                </c:pt>
                <c:pt idx="10">
                  <c:v>0.21276595744680851</c:v>
                </c:pt>
                <c:pt idx="11">
                  <c:v>0.23404255319148937</c:v>
                </c:pt>
                <c:pt idx="12">
                  <c:v>0.25531914893617019</c:v>
                </c:pt>
                <c:pt idx="13">
                  <c:v>0.27659574468085107</c:v>
                </c:pt>
                <c:pt idx="14">
                  <c:v>0.2978723404255319</c:v>
                </c:pt>
                <c:pt idx="15">
                  <c:v>0.31914893617021278</c:v>
                </c:pt>
                <c:pt idx="16">
                  <c:v>0.34042553191489361</c:v>
                </c:pt>
                <c:pt idx="17">
                  <c:v>0.36170212765957449</c:v>
                </c:pt>
                <c:pt idx="18">
                  <c:v>0.38297872340425532</c:v>
                </c:pt>
                <c:pt idx="19">
                  <c:v>0.40425531914893614</c:v>
                </c:pt>
                <c:pt idx="20">
                  <c:v>0.42553191489361702</c:v>
                </c:pt>
                <c:pt idx="21">
                  <c:v>0.44680851063829785</c:v>
                </c:pt>
                <c:pt idx="22">
                  <c:v>0.46808510638297873</c:v>
                </c:pt>
                <c:pt idx="23">
                  <c:v>0.48936170212765956</c:v>
                </c:pt>
                <c:pt idx="24">
                  <c:v>0.51063829787234039</c:v>
                </c:pt>
                <c:pt idx="25">
                  <c:v>0.53191489361702127</c:v>
                </c:pt>
                <c:pt idx="26">
                  <c:v>0.55319148936170215</c:v>
                </c:pt>
                <c:pt idx="27">
                  <c:v>0.57446808510638303</c:v>
                </c:pt>
                <c:pt idx="28">
                  <c:v>0.5957446808510638</c:v>
                </c:pt>
                <c:pt idx="29">
                  <c:v>0.61702127659574468</c:v>
                </c:pt>
                <c:pt idx="30">
                  <c:v>0.63829787234042556</c:v>
                </c:pt>
                <c:pt idx="31">
                  <c:v>0.65957446808510634</c:v>
                </c:pt>
                <c:pt idx="32">
                  <c:v>0.68085106382978722</c:v>
                </c:pt>
                <c:pt idx="33">
                  <c:v>0.7021276595744681</c:v>
                </c:pt>
                <c:pt idx="34">
                  <c:v>0.72340425531914898</c:v>
                </c:pt>
                <c:pt idx="35">
                  <c:v>0.74468085106382975</c:v>
                </c:pt>
                <c:pt idx="36">
                  <c:v>0.76595744680851063</c:v>
                </c:pt>
                <c:pt idx="37">
                  <c:v>0.78723404255319152</c:v>
                </c:pt>
                <c:pt idx="38">
                  <c:v>0.80851063829787229</c:v>
                </c:pt>
                <c:pt idx="39">
                  <c:v>0.82978723404255317</c:v>
                </c:pt>
                <c:pt idx="40">
                  <c:v>0.85106382978723405</c:v>
                </c:pt>
                <c:pt idx="41">
                  <c:v>0.87234042553191493</c:v>
                </c:pt>
                <c:pt idx="42">
                  <c:v>0.8936170212765957</c:v>
                </c:pt>
                <c:pt idx="43">
                  <c:v>0.91489361702127658</c:v>
                </c:pt>
                <c:pt idx="44">
                  <c:v>0.93617021276595747</c:v>
                </c:pt>
                <c:pt idx="45">
                  <c:v>0.95744680851063835</c:v>
                </c:pt>
                <c:pt idx="46">
                  <c:v>0.97872340425531912</c:v>
                </c:pt>
                <c:pt idx="47">
                  <c:v>1</c:v>
                </c:pt>
              </c:numCache>
            </c:numRef>
          </c:xVal>
          <c:yVal>
            <c:numRef>
              <c:f>VPP_VDD!$H$5:$H$52</c:f>
              <c:numCache>
                <c:formatCode>General</c:formatCode>
                <c:ptCount val="48"/>
                <c:pt idx="0">
                  <c:v>0</c:v>
                </c:pt>
                <c:pt idx="1">
                  <c:v>0.54</c:v>
                </c:pt>
                <c:pt idx="2">
                  <c:v>0.99</c:v>
                </c:pt>
                <c:pt idx="3">
                  <c:v>1.61</c:v>
                </c:pt>
                <c:pt idx="4">
                  <c:v>1.89</c:v>
                </c:pt>
                <c:pt idx="5">
                  <c:v>2.56</c:v>
                </c:pt>
                <c:pt idx="6">
                  <c:v>3.13</c:v>
                </c:pt>
                <c:pt idx="7">
                  <c:v>3.73</c:v>
                </c:pt>
                <c:pt idx="8">
                  <c:v>4.2300000000000004</c:v>
                </c:pt>
                <c:pt idx="9">
                  <c:v>4.7300000000000004</c:v>
                </c:pt>
                <c:pt idx="10">
                  <c:v>5.35</c:v>
                </c:pt>
                <c:pt idx="11">
                  <c:v>5.63</c:v>
                </c:pt>
                <c:pt idx="12">
                  <c:v>6.55</c:v>
                </c:pt>
                <c:pt idx="13">
                  <c:v>6.94</c:v>
                </c:pt>
                <c:pt idx="14">
                  <c:v>7.37</c:v>
                </c:pt>
                <c:pt idx="15">
                  <c:v>7.99</c:v>
                </c:pt>
                <c:pt idx="16">
                  <c:v>8.49</c:v>
                </c:pt>
                <c:pt idx="17">
                  <c:v>9.01</c:v>
                </c:pt>
                <c:pt idx="18">
                  <c:v>9.64</c:v>
                </c:pt>
                <c:pt idx="19">
                  <c:v>10.16</c:v>
                </c:pt>
                <c:pt idx="20">
                  <c:v>10.63</c:v>
                </c:pt>
                <c:pt idx="21">
                  <c:v>11.13</c:v>
                </c:pt>
                <c:pt idx="22">
                  <c:v>11.7</c:v>
                </c:pt>
                <c:pt idx="23">
                  <c:v>12.18</c:v>
                </c:pt>
                <c:pt idx="24">
                  <c:v>12.67</c:v>
                </c:pt>
                <c:pt idx="25">
                  <c:v>13.27</c:v>
                </c:pt>
                <c:pt idx="26">
                  <c:v>13.85</c:v>
                </c:pt>
                <c:pt idx="27">
                  <c:v>14.27</c:v>
                </c:pt>
                <c:pt idx="28">
                  <c:v>14.64</c:v>
                </c:pt>
                <c:pt idx="29">
                  <c:v>15.39</c:v>
                </c:pt>
                <c:pt idx="30">
                  <c:v>15.62</c:v>
                </c:pt>
                <c:pt idx="31">
                  <c:v>15.51</c:v>
                </c:pt>
                <c:pt idx="32">
                  <c:v>15.62</c:v>
                </c:pt>
                <c:pt idx="33">
                  <c:v>15.49</c:v>
                </c:pt>
                <c:pt idx="34">
                  <c:v>15.62</c:v>
                </c:pt>
                <c:pt idx="35">
                  <c:v>15.54</c:v>
                </c:pt>
                <c:pt idx="36">
                  <c:v>15.57</c:v>
                </c:pt>
                <c:pt idx="37">
                  <c:v>15.62</c:v>
                </c:pt>
                <c:pt idx="38">
                  <c:v>15.54</c:v>
                </c:pt>
                <c:pt idx="39">
                  <c:v>15.69</c:v>
                </c:pt>
                <c:pt idx="40">
                  <c:v>15.57</c:v>
                </c:pt>
                <c:pt idx="41">
                  <c:v>15.51</c:v>
                </c:pt>
                <c:pt idx="42">
                  <c:v>15.57</c:v>
                </c:pt>
                <c:pt idx="43">
                  <c:v>15.49</c:v>
                </c:pt>
                <c:pt idx="44">
                  <c:v>15.69</c:v>
                </c:pt>
                <c:pt idx="45">
                  <c:v>15.57</c:v>
                </c:pt>
                <c:pt idx="46">
                  <c:v>15.54</c:v>
                </c:pt>
                <c:pt idx="47">
                  <c:v>15.49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160-4EE4-8327-91CD5C7BEA83}"/>
            </c:ext>
          </c:extLst>
        </c:ser>
        <c:ser>
          <c:idx val="0"/>
          <c:order val="1"/>
          <c:tx>
            <c:strRef>
              <c:f>VPP_VDD!$I$3</c:f>
              <c:strCache>
                <c:ptCount val="1"/>
                <c:pt idx="0">
                  <c:v>Vboost ~18V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xVal>
            <c:numRef>
              <c:f>VPP_VDD!$A$5:$A$52</c:f>
              <c:numCache>
                <c:formatCode>General</c:formatCode>
                <c:ptCount val="48"/>
                <c:pt idx="0">
                  <c:v>0</c:v>
                </c:pt>
                <c:pt idx="1">
                  <c:v>2.1276595744680851E-2</c:v>
                </c:pt>
                <c:pt idx="2">
                  <c:v>4.2553191489361701E-2</c:v>
                </c:pt>
                <c:pt idx="3">
                  <c:v>6.3829787234042548E-2</c:v>
                </c:pt>
                <c:pt idx="4">
                  <c:v>8.5106382978723402E-2</c:v>
                </c:pt>
                <c:pt idx="5">
                  <c:v>0.10638297872340426</c:v>
                </c:pt>
                <c:pt idx="6">
                  <c:v>0.1276595744680851</c:v>
                </c:pt>
                <c:pt idx="7">
                  <c:v>0.14893617021276595</c:v>
                </c:pt>
                <c:pt idx="8">
                  <c:v>0.1702127659574468</c:v>
                </c:pt>
                <c:pt idx="9">
                  <c:v>0.19148936170212766</c:v>
                </c:pt>
                <c:pt idx="10">
                  <c:v>0.21276595744680851</c:v>
                </c:pt>
                <c:pt idx="11">
                  <c:v>0.23404255319148937</c:v>
                </c:pt>
                <c:pt idx="12">
                  <c:v>0.25531914893617019</c:v>
                </c:pt>
                <c:pt idx="13">
                  <c:v>0.27659574468085107</c:v>
                </c:pt>
                <c:pt idx="14">
                  <c:v>0.2978723404255319</c:v>
                </c:pt>
                <c:pt idx="15">
                  <c:v>0.31914893617021278</c:v>
                </c:pt>
                <c:pt idx="16">
                  <c:v>0.34042553191489361</c:v>
                </c:pt>
                <c:pt idx="17">
                  <c:v>0.36170212765957449</c:v>
                </c:pt>
                <c:pt idx="18">
                  <c:v>0.38297872340425532</c:v>
                </c:pt>
                <c:pt idx="19">
                  <c:v>0.40425531914893614</c:v>
                </c:pt>
                <c:pt idx="20">
                  <c:v>0.42553191489361702</c:v>
                </c:pt>
                <c:pt idx="21">
                  <c:v>0.44680851063829785</c:v>
                </c:pt>
                <c:pt idx="22">
                  <c:v>0.46808510638297873</c:v>
                </c:pt>
                <c:pt idx="23">
                  <c:v>0.48936170212765956</c:v>
                </c:pt>
                <c:pt idx="24">
                  <c:v>0.51063829787234039</c:v>
                </c:pt>
                <c:pt idx="25">
                  <c:v>0.53191489361702127</c:v>
                </c:pt>
                <c:pt idx="26">
                  <c:v>0.55319148936170215</c:v>
                </c:pt>
                <c:pt idx="27">
                  <c:v>0.57446808510638303</c:v>
                </c:pt>
                <c:pt idx="28">
                  <c:v>0.5957446808510638</c:v>
                </c:pt>
                <c:pt idx="29">
                  <c:v>0.61702127659574468</c:v>
                </c:pt>
                <c:pt idx="30">
                  <c:v>0.63829787234042556</c:v>
                </c:pt>
                <c:pt idx="31">
                  <c:v>0.65957446808510634</c:v>
                </c:pt>
                <c:pt idx="32">
                  <c:v>0.68085106382978722</c:v>
                </c:pt>
                <c:pt idx="33">
                  <c:v>0.7021276595744681</c:v>
                </c:pt>
                <c:pt idx="34">
                  <c:v>0.72340425531914898</c:v>
                </c:pt>
                <c:pt idx="35">
                  <c:v>0.74468085106382975</c:v>
                </c:pt>
                <c:pt idx="36">
                  <c:v>0.76595744680851063</c:v>
                </c:pt>
                <c:pt idx="37">
                  <c:v>0.78723404255319152</c:v>
                </c:pt>
                <c:pt idx="38">
                  <c:v>0.80851063829787229</c:v>
                </c:pt>
                <c:pt idx="39">
                  <c:v>0.82978723404255317</c:v>
                </c:pt>
                <c:pt idx="40">
                  <c:v>0.85106382978723405</c:v>
                </c:pt>
                <c:pt idx="41">
                  <c:v>0.87234042553191493</c:v>
                </c:pt>
                <c:pt idx="42">
                  <c:v>0.8936170212765957</c:v>
                </c:pt>
                <c:pt idx="43">
                  <c:v>0.91489361702127658</c:v>
                </c:pt>
                <c:pt idx="44">
                  <c:v>0.93617021276595747</c:v>
                </c:pt>
                <c:pt idx="45">
                  <c:v>0.95744680851063835</c:v>
                </c:pt>
                <c:pt idx="46">
                  <c:v>0.97872340425531912</c:v>
                </c:pt>
                <c:pt idx="47">
                  <c:v>1</c:v>
                </c:pt>
              </c:numCache>
            </c:numRef>
          </c:xVal>
          <c:yVal>
            <c:numRef>
              <c:f>VPP_VDD!$S$5:$S$52</c:f>
              <c:numCache>
                <c:formatCode>General</c:formatCode>
                <c:ptCount val="48"/>
                <c:pt idx="0">
                  <c:v>0</c:v>
                </c:pt>
                <c:pt idx="1">
                  <c:v>0.54</c:v>
                </c:pt>
                <c:pt idx="2">
                  <c:v>1.0900000000000001</c:v>
                </c:pt>
                <c:pt idx="3">
                  <c:v>1.51</c:v>
                </c:pt>
                <c:pt idx="4">
                  <c:v>2.14</c:v>
                </c:pt>
                <c:pt idx="5">
                  <c:v>2.63</c:v>
                </c:pt>
                <c:pt idx="6">
                  <c:v>3.15</c:v>
                </c:pt>
                <c:pt idx="7">
                  <c:v>3.66</c:v>
                </c:pt>
                <c:pt idx="8">
                  <c:v>4.28</c:v>
                </c:pt>
                <c:pt idx="9">
                  <c:v>4.68</c:v>
                </c:pt>
                <c:pt idx="10">
                  <c:v>5.3</c:v>
                </c:pt>
                <c:pt idx="11">
                  <c:v>5.82</c:v>
                </c:pt>
                <c:pt idx="12">
                  <c:v>6.34</c:v>
                </c:pt>
                <c:pt idx="13">
                  <c:v>6.9</c:v>
                </c:pt>
                <c:pt idx="14">
                  <c:v>7.39</c:v>
                </c:pt>
                <c:pt idx="15">
                  <c:v>7.82</c:v>
                </c:pt>
                <c:pt idx="16">
                  <c:v>8.4700000000000006</c:v>
                </c:pt>
                <c:pt idx="17">
                  <c:v>8.7899999999999991</c:v>
                </c:pt>
                <c:pt idx="18">
                  <c:v>9.56</c:v>
                </c:pt>
                <c:pt idx="19">
                  <c:v>10.01</c:v>
                </c:pt>
                <c:pt idx="20">
                  <c:v>10.36</c:v>
                </c:pt>
                <c:pt idx="21">
                  <c:v>11.13</c:v>
                </c:pt>
                <c:pt idx="22">
                  <c:v>11.58</c:v>
                </c:pt>
                <c:pt idx="23">
                  <c:v>12.23</c:v>
                </c:pt>
                <c:pt idx="24">
                  <c:v>12.72</c:v>
                </c:pt>
                <c:pt idx="25">
                  <c:v>13.05</c:v>
                </c:pt>
                <c:pt idx="26">
                  <c:v>13.07</c:v>
                </c:pt>
                <c:pt idx="27">
                  <c:v>13.02</c:v>
                </c:pt>
                <c:pt idx="28">
                  <c:v>13.02</c:v>
                </c:pt>
                <c:pt idx="29">
                  <c:v>13.05</c:v>
                </c:pt>
                <c:pt idx="30">
                  <c:v>13</c:v>
                </c:pt>
                <c:pt idx="31">
                  <c:v>13.12</c:v>
                </c:pt>
                <c:pt idx="32">
                  <c:v>13.12</c:v>
                </c:pt>
                <c:pt idx="33">
                  <c:v>13</c:v>
                </c:pt>
                <c:pt idx="34">
                  <c:v>13.15</c:v>
                </c:pt>
                <c:pt idx="35">
                  <c:v>12.95</c:v>
                </c:pt>
                <c:pt idx="36">
                  <c:v>13.12</c:v>
                </c:pt>
                <c:pt idx="37">
                  <c:v>13.07</c:v>
                </c:pt>
                <c:pt idx="38">
                  <c:v>13.1</c:v>
                </c:pt>
                <c:pt idx="39">
                  <c:v>13.12</c:v>
                </c:pt>
                <c:pt idx="40">
                  <c:v>13.12</c:v>
                </c:pt>
                <c:pt idx="41">
                  <c:v>12.97</c:v>
                </c:pt>
                <c:pt idx="42">
                  <c:v>12.97</c:v>
                </c:pt>
                <c:pt idx="43">
                  <c:v>13</c:v>
                </c:pt>
                <c:pt idx="44">
                  <c:v>13.05</c:v>
                </c:pt>
                <c:pt idx="45">
                  <c:v>13</c:v>
                </c:pt>
                <c:pt idx="46">
                  <c:v>13.1</c:v>
                </c:pt>
                <c:pt idx="47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160-4EE4-8327-91CD5C7BE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531407"/>
        <c:axId val="1116529743"/>
      </c:scatterChart>
      <c:valAx>
        <c:axId val="111653140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PWM_VPP duty cycle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16529743"/>
        <c:crosses val="autoZero"/>
        <c:crossBetween val="midCat"/>
      </c:valAx>
      <c:valAx>
        <c:axId val="111652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Vpp [V]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16531407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7005643044619423"/>
          <c:y val="0.57369021580635748"/>
          <c:w val="0.19105468066491688"/>
          <c:h val="0.16743438320209975"/>
        </c:manualLayout>
      </c:layout>
      <c:overlay val="0"/>
      <c:spPr>
        <a:solidFill>
          <a:schemeClr val="bg1"/>
        </a:solidFill>
        <a:ln w="9525">
          <a:solidFill>
            <a:schemeClr val="tx1"/>
          </a:solidFill>
        </a:ln>
      </c:spPr>
    </c:legend>
    <c:plotVisOnly val="1"/>
    <c:dispBlanksAs val="gap"/>
    <c:showDLblsOverMax val="0"/>
    <c:extLst/>
  </c:chart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Booster</a:t>
            </a:r>
            <a:r>
              <a:rPr lang="de-DE" baseline="0"/>
              <a:t> Output Voltage vs. </a:t>
            </a:r>
            <a:br>
              <a:rPr lang="de-DE" baseline="0"/>
            </a:br>
            <a:r>
              <a:rPr lang="de-DE" baseline="0"/>
              <a:t>Duty Cycle and Load @ 1Mhz</a:t>
            </a:r>
            <a:endParaRPr lang="de-DE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121794698343121"/>
          <c:y val="0.28418999708369785"/>
          <c:w val="0.76406521994029097"/>
          <c:h val="0.49165901137357831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'V_BOST Sweep'!$G$5</c:f>
              <c:strCache>
                <c:ptCount val="1"/>
                <c:pt idx="0">
                  <c:v>Rload=850 Ohm</c:v>
                </c:pt>
              </c:strCache>
            </c:strRef>
          </c:tx>
          <c:xVal>
            <c:numRef>
              <c:f>'V_BOST Sweep'!$B$9:$B$29</c:f>
              <c:numCache>
                <c:formatCode>General</c:formatCode>
                <c:ptCount val="21"/>
                <c:pt idx="0">
                  <c:v>0</c:v>
                </c:pt>
                <c:pt idx="1">
                  <c:v>2.1276595744680851E-2</c:v>
                </c:pt>
                <c:pt idx="2">
                  <c:v>4.2553191489361701E-2</c:v>
                </c:pt>
                <c:pt idx="3">
                  <c:v>6.3829787234042548E-2</c:v>
                </c:pt>
                <c:pt idx="4">
                  <c:v>8.5106382978723402E-2</c:v>
                </c:pt>
                <c:pt idx="5">
                  <c:v>0.10638297872340426</c:v>
                </c:pt>
                <c:pt idx="6">
                  <c:v>0.1276595744680851</c:v>
                </c:pt>
                <c:pt idx="7">
                  <c:v>0.14893617021276595</c:v>
                </c:pt>
                <c:pt idx="8">
                  <c:v>0.1702127659574468</c:v>
                </c:pt>
                <c:pt idx="9">
                  <c:v>0.19148936170212766</c:v>
                </c:pt>
                <c:pt idx="10">
                  <c:v>0.21276595744680851</c:v>
                </c:pt>
                <c:pt idx="11">
                  <c:v>0.23404255319148937</c:v>
                </c:pt>
                <c:pt idx="12">
                  <c:v>0.25531914893617019</c:v>
                </c:pt>
                <c:pt idx="13">
                  <c:v>0.27659574468085107</c:v>
                </c:pt>
                <c:pt idx="14">
                  <c:v>0.2978723404255319</c:v>
                </c:pt>
                <c:pt idx="15">
                  <c:v>0.31914893617021278</c:v>
                </c:pt>
                <c:pt idx="16">
                  <c:v>0.34042553191489361</c:v>
                </c:pt>
                <c:pt idx="17">
                  <c:v>0.36170212765957449</c:v>
                </c:pt>
                <c:pt idx="18">
                  <c:v>0.38297872340425532</c:v>
                </c:pt>
                <c:pt idx="19">
                  <c:v>0.40425531914893614</c:v>
                </c:pt>
                <c:pt idx="20">
                  <c:v>0.42553191489361702</c:v>
                </c:pt>
              </c:numCache>
            </c:numRef>
          </c:xVal>
          <c:yVal>
            <c:numRef>
              <c:f>'V_BOST Sweep'!$G$9:$G$29</c:f>
              <c:numCache>
                <c:formatCode>General</c:formatCode>
                <c:ptCount val="21"/>
                <c:pt idx="0">
                  <c:v>4.88</c:v>
                </c:pt>
                <c:pt idx="1">
                  <c:v>5.13</c:v>
                </c:pt>
                <c:pt idx="2">
                  <c:v>5.44</c:v>
                </c:pt>
                <c:pt idx="3">
                  <c:v>5.77</c:v>
                </c:pt>
                <c:pt idx="4">
                  <c:v>6.33</c:v>
                </c:pt>
                <c:pt idx="5">
                  <c:v>6.82</c:v>
                </c:pt>
                <c:pt idx="6">
                  <c:v>7.46</c:v>
                </c:pt>
                <c:pt idx="7">
                  <c:v>8.3000000000000007</c:v>
                </c:pt>
                <c:pt idx="8">
                  <c:v>9.0399999999999991</c:v>
                </c:pt>
                <c:pt idx="9">
                  <c:v>9.99</c:v>
                </c:pt>
                <c:pt idx="10">
                  <c:v>11</c:v>
                </c:pt>
                <c:pt idx="11">
                  <c:v>12.2</c:v>
                </c:pt>
                <c:pt idx="12">
                  <c:v>13.4</c:v>
                </c:pt>
                <c:pt idx="13">
                  <c:v>14.75</c:v>
                </c:pt>
                <c:pt idx="14">
                  <c:v>15.92</c:v>
                </c:pt>
                <c:pt idx="15">
                  <c:v>17.34</c:v>
                </c:pt>
                <c:pt idx="16">
                  <c:v>18.350000000000001</c:v>
                </c:pt>
                <c:pt idx="17">
                  <c:v>19.45</c:v>
                </c:pt>
                <c:pt idx="18">
                  <c:v>20.23</c:v>
                </c:pt>
                <c:pt idx="19">
                  <c:v>20.87</c:v>
                </c:pt>
                <c:pt idx="20">
                  <c:v>21.27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A7-4CF4-9E99-663102E7AA2E}"/>
            </c:ext>
          </c:extLst>
        </c:ser>
        <c:ser>
          <c:idx val="0"/>
          <c:order val="1"/>
          <c:tx>
            <c:strRef>
              <c:f>'V_BOST Sweep'!$P$5</c:f>
              <c:strCache>
                <c:ptCount val="1"/>
                <c:pt idx="0">
                  <c:v>Rload=6100 Ohm</c:v>
                </c:pt>
              </c:strCache>
            </c:strRef>
          </c:tx>
          <c:spPr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'V_BOST Sweep'!$B$9:$B$19</c:f>
              <c:numCache>
                <c:formatCode>General</c:formatCode>
                <c:ptCount val="11"/>
                <c:pt idx="0">
                  <c:v>0</c:v>
                </c:pt>
                <c:pt idx="1">
                  <c:v>2.1276595744680851E-2</c:v>
                </c:pt>
                <c:pt idx="2">
                  <c:v>4.2553191489361701E-2</c:v>
                </c:pt>
                <c:pt idx="3">
                  <c:v>6.3829787234042548E-2</c:v>
                </c:pt>
                <c:pt idx="4">
                  <c:v>8.5106382978723402E-2</c:v>
                </c:pt>
                <c:pt idx="5">
                  <c:v>0.10638297872340426</c:v>
                </c:pt>
                <c:pt idx="6">
                  <c:v>0.1276595744680851</c:v>
                </c:pt>
                <c:pt idx="7">
                  <c:v>0.14893617021276595</c:v>
                </c:pt>
                <c:pt idx="8">
                  <c:v>0.1702127659574468</c:v>
                </c:pt>
                <c:pt idx="9">
                  <c:v>0.19148936170212766</c:v>
                </c:pt>
                <c:pt idx="10">
                  <c:v>0.21276595744680851</c:v>
                </c:pt>
              </c:numCache>
            </c:numRef>
          </c:xVal>
          <c:yVal>
            <c:numRef>
              <c:f>'V_BOST Sweep'!$P$9:$P$19</c:f>
              <c:numCache>
                <c:formatCode>General</c:formatCode>
                <c:ptCount val="11"/>
                <c:pt idx="0">
                  <c:v>4.97</c:v>
                </c:pt>
                <c:pt idx="1">
                  <c:v>6.02</c:v>
                </c:pt>
                <c:pt idx="2">
                  <c:v>7</c:v>
                </c:pt>
                <c:pt idx="3">
                  <c:v>8.24</c:v>
                </c:pt>
                <c:pt idx="4">
                  <c:v>9.6300000000000008</c:v>
                </c:pt>
                <c:pt idx="5">
                  <c:v>11.23</c:v>
                </c:pt>
                <c:pt idx="6">
                  <c:v>12.84</c:v>
                </c:pt>
                <c:pt idx="7">
                  <c:v>14.54</c:v>
                </c:pt>
                <c:pt idx="8">
                  <c:v>16.420000000000002</c:v>
                </c:pt>
                <c:pt idx="9">
                  <c:v>18.829999999999998</c:v>
                </c:pt>
                <c:pt idx="10">
                  <c:v>21.05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A7-4CF4-9E99-663102E7A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4399"/>
        <c:axId val="1857803983"/>
      </c:scatterChart>
      <c:valAx>
        <c:axId val="1857804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de-DE" sz="1100"/>
                  <a:t>Booster Duty Cycle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57803983"/>
        <c:crosses val="autoZero"/>
        <c:crossBetween val="midCat"/>
      </c:valAx>
      <c:valAx>
        <c:axId val="185780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de-DE" sz="1100"/>
                  <a:t>Boster Voltage [V]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57804399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3198694879634889"/>
          <c:y val="0.55742855059784191"/>
          <c:w val="0.28760068006963047"/>
          <c:h val="0.16743438320209975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  <c:extLst/>
  </c:chart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91440</xdr:colOff>
      <xdr:row>15</xdr:row>
      <xdr:rowOff>167640</xdr:rowOff>
    </xdr:from>
    <xdr:to>
      <xdr:col>29</xdr:col>
      <xdr:colOff>259080</xdr:colOff>
      <xdr:row>30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B37D79-ED9D-4C17-AC89-9BD8945DD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495300</xdr:colOff>
      <xdr:row>0</xdr:row>
      <xdr:rowOff>0</xdr:rowOff>
    </xdr:from>
    <xdr:to>
      <xdr:col>29</xdr:col>
      <xdr:colOff>190500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4853AE-8C6B-4187-BB7B-EA1D75ED10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403860</xdr:colOff>
      <xdr:row>27</xdr:row>
      <xdr:rowOff>25344</xdr:rowOff>
    </xdr:from>
    <xdr:to>
      <xdr:col>20</xdr:col>
      <xdr:colOff>160020</xdr:colOff>
      <xdr:row>45</xdr:row>
      <xdr:rowOff>102103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18FA17-677A-4E5F-B169-DBF599E7A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9460" y="4963104"/>
          <a:ext cx="5242560" cy="3368599"/>
        </a:xfrm>
        <a:prstGeom prst="rect">
          <a:avLst/>
        </a:prstGeom>
      </xdr:spPr>
    </xdr:pic>
    <xdr:clientData/>
  </xdr:twoCellAnchor>
  <xdr:twoCellAnchor>
    <xdr:from>
      <xdr:col>22</xdr:col>
      <xdr:colOff>106680</xdr:colOff>
      <xdr:row>31</xdr:row>
      <xdr:rowOff>53340</xdr:rowOff>
    </xdr:from>
    <xdr:to>
      <xdr:col>29</xdr:col>
      <xdr:colOff>274320</xdr:colOff>
      <xdr:row>46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8215423-6252-451E-B329-90C3D09365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510540</xdr:colOff>
      <xdr:row>4</xdr:row>
      <xdr:rowOff>121920</xdr:rowOff>
    </xdr:from>
    <xdr:to>
      <xdr:col>29</xdr:col>
      <xdr:colOff>205740</xdr:colOff>
      <xdr:row>19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FAD170-B22C-4C9D-ACDB-57A83B313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350520</xdr:colOff>
      <xdr:row>28</xdr:row>
      <xdr:rowOff>53340</xdr:rowOff>
    </xdr:from>
    <xdr:to>
      <xdr:col>29</xdr:col>
      <xdr:colOff>518160</xdr:colOff>
      <xdr:row>43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77E025-4385-4084-9004-8232D4F9C9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0A659-5955-4577-BB93-02340867CE2B}">
  <dimension ref="B4:R30"/>
  <sheetViews>
    <sheetView workbookViewId="0">
      <selection activeCell="G33" sqref="G33"/>
    </sheetView>
  </sheetViews>
  <sheetFormatPr defaultRowHeight="14.4" x14ac:dyDescent="0.3"/>
  <cols>
    <col min="5" max="5" width="7.21875" customWidth="1"/>
    <col min="9" max="9" width="13.21875" bestFit="1" customWidth="1"/>
  </cols>
  <sheetData>
    <row r="4" spans="2:17" x14ac:dyDescent="0.3">
      <c r="B4" s="9" t="s">
        <v>9</v>
      </c>
      <c r="C4" s="9" t="s">
        <v>1</v>
      </c>
      <c r="D4" s="9" t="s">
        <v>2</v>
      </c>
      <c r="E4" s="9" t="s">
        <v>0</v>
      </c>
      <c r="F4" s="9" t="s">
        <v>5</v>
      </c>
      <c r="G4" s="9" t="s">
        <v>4</v>
      </c>
      <c r="H4" s="9" t="s">
        <v>3</v>
      </c>
      <c r="I4" s="9" t="s">
        <v>10</v>
      </c>
      <c r="J4" s="9" t="s">
        <v>6</v>
      </c>
      <c r="K4" s="9" t="s">
        <v>7</v>
      </c>
      <c r="L4" s="9" t="s">
        <v>8</v>
      </c>
      <c r="Q4" t="s">
        <v>11</v>
      </c>
    </row>
    <row r="5" spans="2:17" x14ac:dyDescent="0.3">
      <c r="B5" s="6">
        <v>10</v>
      </c>
      <c r="C5" s="2">
        <v>1000000</v>
      </c>
      <c r="D5" s="3">
        <v>0.5</v>
      </c>
      <c r="E5" s="7">
        <v>50</v>
      </c>
      <c r="F5" s="1">
        <v>38.299999999999997</v>
      </c>
      <c r="G5" s="1">
        <v>7.6</v>
      </c>
      <c r="H5" s="1">
        <v>9.1999999999999993</v>
      </c>
      <c r="I5" s="1"/>
      <c r="J5" s="4">
        <f t="shared" ref="J5:J22" si="0">5*F5*0.001</f>
        <v>0.1915</v>
      </c>
      <c r="K5" s="8">
        <f t="shared" ref="K5:K22" si="1">G5*H5*0.001</f>
        <v>6.9919999999999982E-2</v>
      </c>
      <c r="L5" s="5">
        <f t="shared" ref="L5:L22" si="2">K5/J5</f>
        <v>0.36511749347258476</v>
      </c>
    </row>
    <row r="6" spans="2:17" x14ac:dyDescent="0.3">
      <c r="B6" s="6">
        <v>10</v>
      </c>
      <c r="C6" s="2">
        <v>1000000</v>
      </c>
      <c r="D6" s="3">
        <v>0.75</v>
      </c>
      <c r="E6" s="7">
        <v>50</v>
      </c>
      <c r="F6" s="1">
        <v>59.05</v>
      </c>
      <c r="G6" s="1">
        <v>7.9</v>
      </c>
      <c r="H6" s="1">
        <v>9.5</v>
      </c>
      <c r="I6" s="1">
        <v>50</v>
      </c>
      <c r="J6" s="4">
        <f t="shared" si="0"/>
        <v>0.29525000000000001</v>
      </c>
      <c r="K6" s="8">
        <f t="shared" si="1"/>
        <v>7.5050000000000006E-2</v>
      </c>
      <c r="L6" s="5">
        <f t="shared" si="2"/>
        <v>0.25419136325148178</v>
      </c>
      <c r="Q6" t="s">
        <v>12</v>
      </c>
    </row>
    <row r="7" spans="2:17" x14ac:dyDescent="0.3">
      <c r="B7" s="6">
        <v>10</v>
      </c>
      <c r="C7" s="2">
        <v>1000000</v>
      </c>
      <c r="D7" s="3">
        <v>0.25</v>
      </c>
      <c r="E7" s="7">
        <v>50</v>
      </c>
      <c r="F7" s="1">
        <v>17.899999999999999</v>
      </c>
      <c r="G7" s="1">
        <v>6.6</v>
      </c>
      <c r="H7" s="1">
        <v>8</v>
      </c>
      <c r="I7" s="1">
        <v>11.2</v>
      </c>
      <c r="J7" s="4">
        <f t="shared" si="0"/>
        <v>8.9499999999999996E-2</v>
      </c>
      <c r="K7" s="8">
        <f t="shared" si="1"/>
        <v>5.28E-2</v>
      </c>
      <c r="L7" s="5">
        <f t="shared" si="2"/>
        <v>0.58994413407821233</v>
      </c>
      <c r="Q7" t="s">
        <v>13</v>
      </c>
    </row>
    <row r="8" spans="2:17" x14ac:dyDescent="0.3">
      <c r="B8" s="6">
        <v>10</v>
      </c>
      <c r="C8" s="2">
        <v>2000000</v>
      </c>
      <c r="D8" s="3">
        <v>0.25</v>
      </c>
      <c r="E8" s="7">
        <v>50</v>
      </c>
      <c r="F8" s="1">
        <v>15.9</v>
      </c>
      <c r="G8" s="1">
        <v>6.6</v>
      </c>
      <c r="H8" s="1">
        <v>7.93</v>
      </c>
      <c r="I8" s="1">
        <v>9.3000000000000007</v>
      </c>
      <c r="J8" s="4">
        <f t="shared" si="0"/>
        <v>7.9500000000000001E-2</v>
      </c>
      <c r="K8" s="8">
        <f t="shared" si="1"/>
        <v>5.2337999999999996E-2</v>
      </c>
      <c r="L8" s="5">
        <f t="shared" si="2"/>
        <v>0.65833962264150936</v>
      </c>
    </row>
    <row r="9" spans="2:17" x14ac:dyDescent="0.3">
      <c r="B9" s="6">
        <v>10</v>
      </c>
      <c r="C9" s="2">
        <v>2000000</v>
      </c>
      <c r="D9" s="3">
        <v>0.5</v>
      </c>
      <c r="E9" s="7">
        <v>50</v>
      </c>
      <c r="F9" s="1">
        <v>28</v>
      </c>
      <c r="G9" s="1">
        <v>7.9</v>
      </c>
      <c r="H9" s="1">
        <v>9.5500000000000007</v>
      </c>
      <c r="I9" s="1">
        <v>20</v>
      </c>
      <c r="J9" s="4">
        <f t="shared" si="0"/>
        <v>0.14000000000000001</v>
      </c>
      <c r="K9" s="8">
        <f t="shared" si="1"/>
        <v>7.5445000000000012E-2</v>
      </c>
      <c r="L9" s="5">
        <f t="shared" si="2"/>
        <v>0.53889285714285717</v>
      </c>
      <c r="Q9">
        <f>15*0.002</f>
        <v>0.03</v>
      </c>
    </row>
    <row r="10" spans="2:17" x14ac:dyDescent="0.3">
      <c r="B10" s="6">
        <v>10</v>
      </c>
      <c r="C10" s="2">
        <v>2000000</v>
      </c>
      <c r="D10" s="3">
        <v>0.5</v>
      </c>
      <c r="E10" s="7">
        <v>20</v>
      </c>
      <c r="F10" s="1">
        <v>35.9</v>
      </c>
      <c r="G10" s="1">
        <v>9.9</v>
      </c>
      <c r="H10" s="1">
        <v>11.9</v>
      </c>
      <c r="I10" s="1">
        <v>25</v>
      </c>
      <c r="J10" s="4">
        <f t="shared" si="0"/>
        <v>0.17949999999999999</v>
      </c>
      <c r="K10" s="8">
        <f t="shared" si="1"/>
        <v>0.11781</v>
      </c>
      <c r="L10" s="5">
        <f t="shared" si="2"/>
        <v>0.65632311977715874</v>
      </c>
    </row>
    <row r="11" spans="2:17" x14ac:dyDescent="0.3">
      <c r="B11" s="6">
        <v>10</v>
      </c>
      <c r="C11" s="2">
        <v>2000000</v>
      </c>
      <c r="D11" s="3">
        <v>0.5</v>
      </c>
      <c r="E11" s="7">
        <v>5</v>
      </c>
      <c r="F11" s="1">
        <v>41.7</v>
      </c>
      <c r="G11" s="1">
        <v>11.4</v>
      </c>
      <c r="H11" s="1">
        <v>13.7</v>
      </c>
      <c r="I11" s="1">
        <v>30</v>
      </c>
      <c r="J11" s="4">
        <f t="shared" si="0"/>
        <v>0.20849999999999999</v>
      </c>
      <c r="K11" s="8">
        <f t="shared" si="1"/>
        <v>0.15618000000000001</v>
      </c>
      <c r="L11" s="5">
        <f t="shared" si="2"/>
        <v>0.74906474820143898</v>
      </c>
      <c r="Q11">
        <f>15/0.002</f>
        <v>7500</v>
      </c>
    </row>
    <row r="12" spans="2:17" x14ac:dyDescent="0.3">
      <c r="B12" s="6">
        <v>10</v>
      </c>
      <c r="C12" s="2">
        <v>2000000</v>
      </c>
      <c r="D12" s="3">
        <v>0.5</v>
      </c>
      <c r="E12" s="7">
        <v>1</v>
      </c>
      <c r="F12" s="1">
        <v>44.9</v>
      </c>
      <c r="G12" s="1">
        <v>13.1</v>
      </c>
      <c r="H12" s="1">
        <v>15.6</v>
      </c>
      <c r="I12" s="1">
        <v>31.8</v>
      </c>
      <c r="J12" s="4">
        <f t="shared" si="0"/>
        <v>0.22450000000000001</v>
      </c>
      <c r="K12" s="8">
        <f t="shared" si="1"/>
        <v>0.20435999999999999</v>
      </c>
      <c r="L12" s="5">
        <f t="shared" si="2"/>
        <v>0.91028953229398657</v>
      </c>
    </row>
    <row r="13" spans="2:17" x14ac:dyDescent="0.3">
      <c r="B13" s="6">
        <v>10</v>
      </c>
      <c r="C13" s="2">
        <v>500000</v>
      </c>
      <c r="D13" s="3">
        <v>0.5</v>
      </c>
      <c r="E13" s="7">
        <v>1</v>
      </c>
      <c r="F13" s="1">
        <v>128</v>
      </c>
      <c r="G13" s="1">
        <v>19.600000000000001</v>
      </c>
      <c r="H13" s="1">
        <v>23.5</v>
      </c>
      <c r="I13" s="1">
        <v>109</v>
      </c>
      <c r="J13" s="4">
        <f t="shared" si="0"/>
        <v>0.64</v>
      </c>
      <c r="K13" s="8">
        <f t="shared" si="1"/>
        <v>0.46060000000000001</v>
      </c>
      <c r="L13" s="5">
        <f t="shared" si="2"/>
        <v>0.71968750000000004</v>
      </c>
    </row>
    <row r="14" spans="2:17" x14ac:dyDescent="0.3">
      <c r="B14" s="6">
        <v>10</v>
      </c>
      <c r="C14" s="2">
        <v>500000</v>
      </c>
      <c r="D14" s="3">
        <v>0.25</v>
      </c>
      <c r="E14" s="7">
        <v>1</v>
      </c>
      <c r="F14" s="1">
        <v>43.2</v>
      </c>
      <c r="G14" s="1">
        <v>12</v>
      </c>
      <c r="H14" s="1">
        <v>14.4</v>
      </c>
      <c r="I14" s="1">
        <v>30</v>
      </c>
      <c r="J14" s="4">
        <f t="shared" si="0"/>
        <v>0.216</v>
      </c>
      <c r="K14" s="8">
        <f t="shared" si="1"/>
        <v>0.17280000000000001</v>
      </c>
      <c r="L14" s="5">
        <f t="shared" si="2"/>
        <v>0.8</v>
      </c>
      <c r="Q14">
        <f>Q11/6</f>
        <v>1250</v>
      </c>
    </row>
    <row r="15" spans="2:17" x14ac:dyDescent="0.3">
      <c r="B15" s="6">
        <v>10</v>
      </c>
      <c r="C15" s="2">
        <v>1000000</v>
      </c>
      <c r="D15" s="3">
        <v>0.25</v>
      </c>
      <c r="E15" s="7">
        <v>1</v>
      </c>
      <c r="F15" s="1">
        <v>27.1</v>
      </c>
      <c r="G15" s="1">
        <v>9.6</v>
      </c>
      <c r="H15" s="1">
        <v>11.6</v>
      </c>
      <c r="I15" s="1">
        <v>17</v>
      </c>
      <c r="J15" s="4">
        <f t="shared" si="0"/>
        <v>0.13550000000000001</v>
      </c>
      <c r="K15" s="8">
        <f t="shared" si="1"/>
        <v>0.11136</v>
      </c>
      <c r="L15" s="5">
        <f t="shared" si="2"/>
        <v>0.82184501845018443</v>
      </c>
    </row>
    <row r="16" spans="2:17" x14ac:dyDescent="0.3">
      <c r="B16" s="6">
        <v>10</v>
      </c>
      <c r="C16" s="2">
        <v>1000000</v>
      </c>
      <c r="D16" s="3">
        <v>0.5</v>
      </c>
      <c r="E16" s="7">
        <v>1</v>
      </c>
      <c r="F16" s="1">
        <v>76</v>
      </c>
      <c r="G16" s="1">
        <v>15.7</v>
      </c>
      <c r="H16" s="1">
        <v>18.899999999999999</v>
      </c>
      <c r="I16" s="1">
        <v>60</v>
      </c>
      <c r="J16" s="4">
        <f t="shared" si="0"/>
        <v>0.38</v>
      </c>
      <c r="K16" s="8">
        <f t="shared" si="1"/>
        <v>0.29672999999999999</v>
      </c>
      <c r="L16" s="5">
        <f t="shared" si="2"/>
        <v>0.78086842105263155</v>
      </c>
    </row>
    <row r="17" spans="2:18" x14ac:dyDescent="0.3">
      <c r="B17" s="6">
        <v>100</v>
      </c>
      <c r="C17" s="2">
        <v>1000000</v>
      </c>
      <c r="D17" s="3">
        <v>0.25</v>
      </c>
      <c r="E17" s="7">
        <v>50</v>
      </c>
      <c r="F17" s="1">
        <v>9.1</v>
      </c>
      <c r="G17" s="1">
        <v>5.5</v>
      </c>
      <c r="H17" s="1">
        <v>6.6</v>
      </c>
      <c r="I17" s="1">
        <v>3.6</v>
      </c>
      <c r="J17" s="4">
        <f t="shared" si="0"/>
        <v>4.5499999999999999E-2</v>
      </c>
      <c r="K17" s="8">
        <f t="shared" si="1"/>
        <v>3.6299999999999999E-2</v>
      </c>
      <c r="L17" s="5">
        <f t="shared" si="2"/>
        <v>0.79780219780219785</v>
      </c>
    </row>
    <row r="18" spans="2:18" x14ac:dyDescent="0.3">
      <c r="B18" s="6">
        <v>100</v>
      </c>
      <c r="C18" s="2">
        <v>1000000</v>
      </c>
      <c r="D18" s="3">
        <v>0.25</v>
      </c>
      <c r="E18" s="7">
        <v>50</v>
      </c>
      <c r="F18" s="1">
        <v>18.8</v>
      </c>
      <c r="G18" s="1">
        <v>7.5</v>
      </c>
      <c r="H18" s="1">
        <v>9</v>
      </c>
      <c r="I18" s="1">
        <v>11.3</v>
      </c>
      <c r="J18" s="4">
        <f t="shared" si="0"/>
        <v>9.4E-2</v>
      </c>
      <c r="K18" s="8">
        <f t="shared" si="1"/>
        <v>6.7500000000000004E-2</v>
      </c>
      <c r="L18" s="5">
        <f t="shared" si="2"/>
        <v>0.71808510638297873</v>
      </c>
    </row>
    <row r="19" spans="2:18" x14ac:dyDescent="0.3">
      <c r="B19" s="6">
        <v>100</v>
      </c>
      <c r="C19" s="2">
        <v>500000</v>
      </c>
      <c r="D19" s="3">
        <v>0.25</v>
      </c>
      <c r="E19" s="7">
        <v>50</v>
      </c>
      <c r="F19" s="1">
        <v>8.6</v>
      </c>
      <c r="G19" s="1">
        <v>5.6</v>
      </c>
      <c r="H19" s="1">
        <v>6.7</v>
      </c>
      <c r="I19" s="1">
        <v>3</v>
      </c>
      <c r="J19" s="4">
        <f t="shared" si="0"/>
        <v>4.3000000000000003E-2</v>
      </c>
      <c r="K19" s="8">
        <f t="shared" si="1"/>
        <v>3.7519999999999998E-2</v>
      </c>
      <c r="L19" s="5">
        <f t="shared" si="2"/>
        <v>0.87255813953488359</v>
      </c>
    </row>
    <row r="20" spans="2:18" x14ac:dyDescent="0.3">
      <c r="B20" s="6">
        <v>22</v>
      </c>
      <c r="C20" s="2">
        <v>500000</v>
      </c>
      <c r="D20" s="3">
        <v>0.25</v>
      </c>
      <c r="E20" s="7">
        <v>50</v>
      </c>
      <c r="F20" s="1">
        <v>17</v>
      </c>
      <c r="G20" s="1">
        <v>6.7</v>
      </c>
      <c r="H20" s="1">
        <v>8</v>
      </c>
      <c r="I20" s="1">
        <v>10</v>
      </c>
      <c r="J20" s="4">
        <f t="shared" si="0"/>
        <v>8.5000000000000006E-2</v>
      </c>
      <c r="K20" s="8">
        <f t="shared" si="1"/>
        <v>5.3600000000000002E-2</v>
      </c>
      <c r="L20" s="5">
        <f t="shared" si="2"/>
        <v>0.63058823529411767</v>
      </c>
    </row>
    <row r="21" spans="2:18" x14ac:dyDescent="0.3">
      <c r="B21" s="6">
        <v>22</v>
      </c>
      <c r="C21" s="2">
        <v>1000000</v>
      </c>
      <c r="D21" s="3">
        <v>0.5</v>
      </c>
      <c r="E21" s="7">
        <v>50</v>
      </c>
      <c r="F21" s="1">
        <v>29</v>
      </c>
      <c r="G21" s="1">
        <v>8.3000000000000007</v>
      </c>
      <c r="H21" s="1">
        <v>10</v>
      </c>
      <c r="I21" s="1">
        <v>20.9</v>
      </c>
      <c r="J21" s="4">
        <f t="shared" si="0"/>
        <v>0.14499999999999999</v>
      </c>
      <c r="K21" s="8">
        <f t="shared" si="1"/>
        <v>8.3000000000000004E-2</v>
      </c>
      <c r="L21" s="5">
        <f t="shared" si="2"/>
        <v>0.57241379310344831</v>
      </c>
    </row>
    <row r="22" spans="2:18" x14ac:dyDescent="0.3">
      <c r="B22" s="6">
        <v>22</v>
      </c>
      <c r="C22" s="2">
        <v>1000000</v>
      </c>
      <c r="D22" s="3">
        <v>0.25</v>
      </c>
      <c r="E22" s="7">
        <v>50</v>
      </c>
      <c r="F22" s="1">
        <v>13.1</v>
      </c>
      <c r="G22" s="1">
        <v>6.4</v>
      </c>
      <c r="H22" s="1">
        <v>7.6</v>
      </c>
      <c r="I22" s="1">
        <v>6.8</v>
      </c>
      <c r="J22" s="4">
        <f t="shared" si="0"/>
        <v>6.5500000000000003E-2</v>
      </c>
      <c r="K22" s="8">
        <f t="shared" si="1"/>
        <v>4.8640000000000003E-2</v>
      </c>
      <c r="L22" s="5">
        <f t="shared" si="2"/>
        <v>0.74259541984732824</v>
      </c>
      <c r="R22" s="15">
        <v>9.9999999999999995E-8</v>
      </c>
    </row>
    <row r="23" spans="2:18" x14ac:dyDescent="0.3">
      <c r="B23" s="10">
        <v>6.8</v>
      </c>
      <c r="C23" s="11">
        <v>4600000</v>
      </c>
      <c r="D23" s="12">
        <v>0.5</v>
      </c>
      <c r="E23" s="7">
        <v>60</v>
      </c>
      <c r="F23" s="13">
        <v>31</v>
      </c>
      <c r="G23" s="13">
        <v>9.3000000000000007</v>
      </c>
      <c r="H23" s="13">
        <v>8.4499999999999993</v>
      </c>
      <c r="I23" s="13">
        <v>22</v>
      </c>
      <c r="J23" s="8">
        <f t="shared" ref="J23" si="3">5*F23*0.001</f>
        <v>0.155</v>
      </c>
      <c r="K23" s="8">
        <f t="shared" ref="K23" si="4">G23*H23*0.001</f>
        <v>7.8585000000000002E-2</v>
      </c>
      <c r="L23" s="14">
        <f t="shared" ref="L23" si="5">K23/J23</f>
        <v>0.50700000000000001</v>
      </c>
      <c r="R23" s="15">
        <v>1000</v>
      </c>
    </row>
    <row r="24" spans="2:18" x14ac:dyDescent="0.3">
      <c r="B24" s="6">
        <v>6.8</v>
      </c>
      <c r="C24" s="2">
        <v>4600000</v>
      </c>
      <c r="D24" s="3">
        <v>0.25</v>
      </c>
      <c r="E24" s="7">
        <v>60</v>
      </c>
      <c r="F24" s="1">
        <v>15.9</v>
      </c>
      <c r="G24" s="1">
        <v>7.4</v>
      </c>
      <c r="H24" s="1">
        <v>6.8</v>
      </c>
      <c r="I24" s="1">
        <v>8.4</v>
      </c>
      <c r="J24" s="4">
        <f t="shared" ref="J24" si="6">5*F24*0.001</f>
        <v>7.9500000000000001E-2</v>
      </c>
      <c r="K24" s="8">
        <f t="shared" ref="K24" si="7">G24*H24*0.001</f>
        <v>5.0320000000000004E-2</v>
      </c>
      <c r="L24" s="5">
        <f t="shared" ref="L24" si="8">K24/J24</f>
        <v>0.63295597484276733</v>
      </c>
    </row>
    <row r="25" spans="2:18" x14ac:dyDescent="0.3">
      <c r="B25" s="6">
        <v>6.8</v>
      </c>
      <c r="C25" s="2">
        <v>2000000</v>
      </c>
      <c r="D25" s="3">
        <v>0.5</v>
      </c>
      <c r="E25" s="7">
        <v>60</v>
      </c>
      <c r="F25" s="1">
        <v>34</v>
      </c>
      <c r="G25" s="1">
        <v>9</v>
      </c>
      <c r="H25" s="1">
        <v>8.1199999999999992</v>
      </c>
      <c r="I25" s="1">
        <v>25</v>
      </c>
      <c r="J25" s="4">
        <f t="shared" ref="J25" si="9">5*F25*0.001</f>
        <v>0.17</v>
      </c>
      <c r="K25" s="8">
        <f t="shared" ref="K25" si="10">G25*H25*0.001</f>
        <v>7.3080000000000006E-2</v>
      </c>
      <c r="L25" s="5">
        <f t="shared" ref="L25" si="11">K25/J25</f>
        <v>0.42988235294117649</v>
      </c>
      <c r="R25" s="15">
        <f>6.28*R22*R23</f>
        <v>6.2799999999999998E-4</v>
      </c>
    </row>
    <row r="26" spans="2:18" x14ac:dyDescent="0.3">
      <c r="B26" s="6">
        <v>6.8</v>
      </c>
      <c r="C26" s="2">
        <v>6000000</v>
      </c>
      <c r="D26" s="3">
        <v>0.5</v>
      </c>
      <c r="E26" s="7">
        <v>60</v>
      </c>
      <c r="F26" s="1">
        <v>37</v>
      </c>
      <c r="G26" s="1">
        <v>9.5</v>
      </c>
      <c r="H26" s="1">
        <v>8.5</v>
      </c>
      <c r="I26" s="1">
        <v>27</v>
      </c>
      <c r="J26" s="4">
        <f t="shared" ref="J26:J27" si="12">5*F26*0.001</f>
        <v>0.185</v>
      </c>
      <c r="K26" s="8">
        <f t="shared" ref="K26:K27" si="13">G26*H26*0.001</f>
        <v>8.0750000000000002E-2</v>
      </c>
      <c r="L26" s="5">
        <f t="shared" ref="L26:L27" si="14">K26/J26</f>
        <v>0.43648648648648652</v>
      </c>
    </row>
    <row r="27" spans="2:18" x14ac:dyDescent="0.3">
      <c r="B27" s="10">
        <v>6.8</v>
      </c>
      <c r="C27" s="11">
        <v>4600000</v>
      </c>
      <c r="D27" s="12">
        <v>0.5</v>
      </c>
      <c r="E27" s="7">
        <v>60</v>
      </c>
      <c r="F27" s="13">
        <v>31</v>
      </c>
      <c r="G27" s="13">
        <v>9.3000000000000007</v>
      </c>
      <c r="H27" s="13">
        <v>8.4499999999999993</v>
      </c>
      <c r="I27" s="13">
        <v>22</v>
      </c>
      <c r="J27" s="8">
        <f t="shared" si="12"/>
        <v>0.155</v>
      </c>
      <c r="K27" s="8">
        <f t="shared" si="13"/>
        <v>7.8585000000000002E-2</v>
      </c>
      <c r="L27" s="14">
        <f t="shared" si="14"/>
        <v>0.50700000000000001</v>
      </c>
    </row>
    <row r="28" spans="2:18" x14ac:dyDescent="0.3">
      <c r="B28" s="10">
        <v>1</v>
      </c>
      <c r="C28" s="11">
        <v>10000000</v>
      </c>
      <c r="D28" s="12">
        <v>0.5</v>
      </c>
      <c r="E28" s="7">
        <v>60</v>
      </c>
      <c r="F28" s="13">
        <v>37</v>
      </c>
      <c r="G28" s="13">
        <v>4</v>
      </c>
      <c r="H28" s="13">
        <v>8.4499999999999993</v>
      </c>
      <c r="I28" s="13">
        <v>33</v>
      </c>
      <c r="J28" s="8">
        <f t="shared" ref="J28:J30" si="15">5*F28*0.001</f>
        <v>0.185</v>
      </c>
      <c r="K28" s="8">
        <f t="shared" ref="K28:K30" si="16">G28*H28*0.001</f>
        <v>3.3799999999999997E-2</v>
      </c>
      <c r="L28" s="14">
        <f t="shared" ref="L28:L30" si="17">K28/J28</f>
        <v>0.1827027027027027</v>
      </c>
    </row>
    <row r="29" spans="2:18" x14ac:dyDescent="0.3">
      <c r="B29" s="6">
        <v>4.7</v>
      </c>
      <c r="C29" s="16">
        <v>2000000</v>
      </c>
      <c r="D29" s="3">
        <v>0.5</v>
      </c>
      <c r="E29" s="7">
        <v>1</v>
      </c>
      <c r="F29" s="1">
        <v>72</v>
      </c>
      <c r="G29" s="1">
        <v>15.7</v>
      </c>
      <c r="H29" s="1">
        <v>18.8</v>
      </c>
      <c r="I29" s="1">
        <v>56</v>
      </c>
      <c r="J29" s="4">
        <f t="shared" si="15"/>
        <v>0.36</v>
      </c>
      <c r="K29" s="8">
        <f t="shared" si="16"/>
        <v>0.29516000000000003</v>
      </c>
      <c r="L29" s="5">
        <f t="shared" si="17"/>
        <v>0.819888888888889</v>
      </c>
    </row>
    <row r="30" spans="2:18" x14ac:dyDescent="0.3">
      <c r="B30" s="6">
        <v>4.7</v>
      </c>
      <c r="C30" s="16">
        <v>2000000</v>
      </c>
      <c r="D30" s="3">
        <v>0.5</v>
      </c>
      <c r="E30" s="7">
        <v>1</v>
      </c>
      <c r="F30" s="1">
        <v>62</v>
      </c>
      <c r="G30" s="1">
        <v>11</v>
      </c>
      <c r="H30" s="1">
        <v>22.6</v>
      </c>
      <c r="I30" s="1">
        <v>51</v>
      </c>
      <c r="J30" s="4">
        <f t="shared" si="15"/>
        <v>0.31</v>
      </c>
      <c r="K30" s="8">
        <f t="shared" si="16"/>
        <v>0.24860000000000002</v>
      </c>
      <c r="L30" s="5">
        <f t="shared" si="17"/>
        <v>0.8019354838709678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F8388-A1FA-4CE0-88BC-D00CD01563A1}">
  <dimension ref="B2:R29"/>
  <sheetViews>
    <sheetView tabSelected="1" workbookViewId="0">
      <selection activeCell="AC34" sqref="AC34"/>
    </sheetView>
  </sheetViews>
  <sheetFormatPr defaultRowHeight="14.4" x14ac:dyDescent="0.3"/>
  <sheetData>
    <row r="2" spans="2:18" x14ac:dyDescent="0.3">
      <c r="C2" t="s">
        <v>29</v>
      </c>
    </row>
    <row r="4" spans="2:18" x14ac:dyDescent="0.3"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L4" t="s">
        <v>14</v>
      </c>
      <c r="M4" t="s">
        <v>15</v>
      </c>
      <c r="N4" t="s">
        <v>27</v>
      </c>
      <c r="O4" t="s">
        <v>17</v>
      </c>
      <c r="P4" t="s">
        <v>18</v>
      </c>
      <c r="Q4" t="s">
        <v>28</v>
      </c>
    </row>
    <row r="5" spans="2:18" x14ac:dyDescent="0.3">
      <c r="G5" t="s">
        <v>36</v>
      </c>
      <c r="P5" t="s">
        <v>37</v>
      </c>
    </row>
    <row r="6" spans="2:18" x14ac:dyDescent="0.3">
      <c r="G6" t="s">
        <v>24</v>
      </c>
      <c r="H6">
        <f>FLOOR(1000/(1+1/6.1),1)</f>
        <v>859</v>
      </c>
      <c r="P6" t="s">
        <v>24</v>
      </c>
      <c r="Q6">
        <f>6100</f>
        <v>6100</v>
      </c>
    </row>
    <row r="8" spans="2:18" x14ac:dyDescent="0.3">
      <c r="D8" t="s">
        <v>2</v>
      </c>
      <c r="G8" t="s">
        <v>26</v>
      </c>
      <c r="H8" t="s">
        <v>25</v>
      </c>
      <c r="I8" t="s">
        <v>23</v>
      </c>
      <c r="M8" t="s">
        <v>2</v>
      </c>
      <c r="P8" t="s">
        <v>26</v>
      </c>
      <c r="Q8" t="s">
        <v>25</v>
      </c>
      <c r="R8" t="s">
        <v>23</v>
      </c>
    </row>
    <row r="9" spans="2:18" x14ac:dyDescent="0.3">
      <c r="B9">
        <f>D9/47</f>
        <v>0</v>
      </c>
      <c r="C9" t="s">
        <v>20</v>
      </c>
      <c r="D9">
        <v>0</v>
      </c>
      <c r="E9" t="s">
        <v>21</v>
      </c>
      <c r="F9" t="s">
        <v>22</v>
      </c>
      <c r="G9">
        <v>4.88</v>
      </c>
      <c r="H9">
        <f>G9/H$6</f>
        <v>5.6810244470314316E-3</v>
      </c>
      <c r="I9">
        <f>G9*H9</f>
        <v>2.7723399301513386E-2</v>
      </c>
      <c r="L9" t="s">
        <v>20</v>
      </c>
      <c r="M9">
        <v>0</v>
      </c>
      <c r="N9" t="s">
        <v>21</v>
      </c>
      <c r="O9" t="s">
        <v>22</v>
      </c>
      <c r="P9">
        <v>4.97</v>
      </c>
      <c r="Q9">
        <f>P9/Q$6</f>
        <v>8.1475409836065567E-4</v>
      </c>
      <c r="R9">
        <f>P9*Q9</f>
        <v>4.0493278688524589E-3</v>
      </c>
    </row>
    <row r="10" spans="2:18" x14ac:dyDescent="0.3">
      <c r="B10">
        <f t="shared" ref="B10:B29" si="0">D10/47</f>
        <v>2.1276595744680851E-2</v>
      </c>
      <c r="C10" t="s">
        <v>20</v>
      </c>
      <c r="D10">
        <v>1</v>
      </c>
      <c r="E10" t="s">
        <v>21</v>
      </c>
      <c r="F10" t="s">
        <v>22</v>
      </c>
      <c r="G10">
        <v>5.13</v>
      </c>
      <c r="H10">
        <f t="shared" ref="H10:H29" si="1">G10/H$6</f>
        <v>5.9720605355064026E-3</v>
      </c>
      <c r="I10">
        <f t="shared" ref="I10:I29" si="2">G10*H10</f>
        <v>3.0636670547147846E-2</v>
      </c>
      <c r="L10" t="s">
        <v>20</v>
      </c>
      <c r="M10">
        <v>1</v>
      </c>
      <c r="N10" t="s">
        <v>21</v>
      </c>
      <c r="O10" t="s">
        <v>22</v>
      </c>
      <c r="P10">
        <v>6.02</v>
      </c>
      <c r="Q10">
        <f t="shared" ref="Q10:Q19" si="3">P10/Q$6</f>
        <v>9.8688524590163917E-4</v>
      </c>
      <c r="R10">
        <f t="shared" ref="R10:R19" si="4">P10*Q10</f>
        <v>5.9410491803278676E-3</v>
      </c>
    </row>
    <row r="11" spans="2:18" x14ac:dyDescent="0.3">
      <c r="B11">
        <f t="shared" si="0"/>
        <v>4.2553191489361701E-2</v>
      </c>
      <c r="C11" t="s">
        <v>20</v>
      </c>
      <c r="D11">
        <v>2</v>
      </c>
      <c r="E11" t="s">
        <v>21</v>
      </c>
      <c r="F11" t="s">
        <v>22</v>
      </c>
      <c r="G11">
        <v>5.44</v>
      </c>
      <c r="H11">
        <f t="shared" si="1"/>
        <v>6.3329452852153674E-3</v>
      </c>
      <c r="I11">
        <f t="shared" si="2"/>
        <v>3.4451222351571602E-2</v>
      </c>
      <c r="L11" t="s">
        <v>20</v>
      </c>
      <c r="M11">
        <v>2</v>
      </c>
      <c r="N11" t="s">
        <v>21</v>
      </c>
      <c r="O11" t="s">
        <v>22</v>
      </c>
      <c r="P11">
        <v>7</v>
      </c>
      <c r="Q11">
        <f t="shared" si="3"/>
        <v>1.1475409836065574E-3</v>
      </c>
      <c r="R11">
        <f t="shared" si="4"/>
        <v>8.032786885245901E-3</v>
      </c>
    </row>
    <row r="12" spans="2:18" x14ac:dyDescent="0.3">
      <c r="B12">
        <f t="shared" si="0"/>
        <v>6.3829787234042548E-2</v>
      </c>
      <c r="C12" t="s">
        <v>20</v>
      </c>
      <c r="D12">
        <v>3</v>
      </c>
      <c r="E12" t="s">
        <v>21</v>
      </c>
      <c r="F12" t="s">
        <v>22</v>
      </c>
      <c r="G12">
        <v>5.77</v>
      </c>
      <c r="H12">
        <f t="shared" si="1"/>
        <v>6.7171129220023277E-3</v>
      </c>
      <c r="I12">
        <f t="shared" si="2"/>
        <v>3.8757741559953429E-2</v>
      </c>
      <c r="L12" t="s">
        <v>20</v>
      </c>
      <c r="M12">
        <v>3</v>
      </c>
      <c r="N12" t="s">
        <v>21</v>
      </c>
      <c r="O12" t="s">
        <v>22</v>
      </c>
      <c r="P12">
        <v>8.24</v>
      </c>
      <c r="Q12">
        <f t="shared" si="3"/>
        <v>1.3508196721311477E-3</v>
      </c>
      <c r="R12">
        <f t="shared" si="4"/>
        <v>1.1130754098360658E-2</v>
      </c>
    </row>
    <row r="13" spans="2:18" x14ac:dyDescent="0.3">
      <c r="B13">
        <f t="shared" si="0"/>
        <v>8.5106382978723402E-2</v>
      </c>
      <c r="C13" t="s">
        <v>20</v>
      </c>
      <c r="D13">
        <v>4</v>
      </c>
      <c r="E13" t="s">
        <v>21</v>
      </c>
      <c r="F13" t="s">
        <v>22</v>
      </c>
      <c r="G13">
        <v>6.33</v>
      </c>
      <c r="H13">
        <f t="shared" si="1"/>
        <v>7.3690337601862634E-3</v>
      </c>
      <c r="I13">
        <f t="shared" si="2"/>
        <v>4.6645983701979046E-2</v>
      </c>
      <c r="L13" t="s">
        <v>20</v>
      </c>
      <c r="M13">
        <v>4</v>
      </c>
      <c r="N13" t="s">
        <v>21</v>
      </c>
      <c r="O13" t="s">
        <v>22</v>
      </c>
      <c r="P13">
        <v>9.6300000000000008</v>
      </c>
      <c r="Q13">
        <f t="shared" si="3"/>
        <v>1.578688524590164E-3</v>
      </c>
      <c r="R13">
        <f t="shared" si="4"/>
        <v>1.5202770491803281E-2</v>
      </c>
    </row>
    <row r="14" spans="2:18" x14ac:dyDescent="0.3">
      <c r="B14">
        <f t="shared" si="0"/>
        <v>0.10638297872340426</v>
      </c>
      <c r="C14" t="s">
        <v>20</v>
      </c>
      <c r="D14">
        <v>5</v>
      </c>
      <c r="E14" t="s">
        <v>21</v>
      </c>
      <c r="F14" t="s">
        <v>22</v>
      </c>
      <c r="G14">
        <v>6.82</v>
      </c>
      <c r="H14">
        <f t="shared" si="1"/>
        <v>7.9394644935972068E-3</v>
      </c>
      <c r="I14">
        <f t="shared" si="2"/>
        <v>5.4147147846332955E-2</v>
      </c>
      <c r="L14" t="s">
        <v>20</v>
      </c>
      <c r="M14">
        <v>5</v>
      </c>
      <c r="N14" t="s">
        <v>21</v>
      </c>
      <c r="O14" t="s">
        <v>22</v>
      </c>
      <c r="P14">
        <v>11.23</v>
      </c>
      <c r="Q14">
        <f t="shared" si="3"/>
        <v>1.8409836065573771E-3</v>
      </c>
      <c r="R14">
        <f t="shared" si="4"/>
        <v>2.0674245901639344E-2</v>
      </c>
    </row>
    <row r="15" spans="2:18" x14ac:dyDescent="0.3">
      <c r="B15">
        <f t="shared" si="0"/>
        <v>0.1276595744680851</v>
      </c>
      <c r="C15" t="s">
        <v>20</v>
      </c>
      <c r="D15">
        <v>6</v>
      </c>
      <c r="E15" t="s">
        <v>21</v>
      </c>
      <c r="F15" t="s">
        <v>22</v>
      </c>
      <c r="G15">
        <v>7.46</v>
      </c>
      <c r="H15">
        <f t="shared" si="1"/>
        <v>8.6845168800931318E-3</v>
      </c>
      <c r="I15">
        <f t="shared" si="2"/>
        <v>6.4786495925494764E-2</v>
      </c>
      <c r="L15" t="s">
        <v>20</v>
      </c>
      <c r="M15">
        <v>6</v>
      </c>
      <c r="N15" t="s">
        <v>21</v>
      </c>
      <c r="O15" t="s">
        <v>22</v>
      </c>
      <c r="P15">
        <v>12.84</v>
      </c>
      <c r="Q15">
        <f t="shared" si="3"/>
        <v>2.1049180327868851E-3</v>
      </c>
      <c r="R15">
        <f t="shared" si="4"/>
        <v>2.7027147540983603E-2</v>
      </c>
    </row>
    <row r="16" spans="2:18" x14ac:dyDescent="0.3">
      <c r="B16">
        <f t="shared" si="0"/>
        <v>0.14893617021276595</v>
      </c>
      <c r="C16" t="s">
        <v>20</v>
      </c>
      <c r="D16">
        <v>7</v>
      </c>
      <c r="E16" t="s">
        <v>21</v>
      </c>
      <c r="F16" t="s">
        <v>22</v>
      </c>
      <c r="G16">
        <v>8.3000000000000007</v>
      </c>
      <c r="H16">
        <f t="shared" si="1"/>
        <v>9.6623981373690354E-3</v>
      </c>
      <c r="I16">
        <f t="shared" si="2"/>
        <v>8.0197904540162998E-2</v>
      </c>
      <c r="L16" t="s">
        <v>20</v>
      </c>
      <c r="M16">
        <v>7</v>
      </c>
      <c r="N16" t="s">
        <v>21</v>
      </c>
      <c r="O16" t="s">
        <v>22</v>
      </c>
      <c r="P16">
        <v>14.54</v>
      </c>
      <c r="Q16">
        <f t="shared" si="3"/>
        <v>2.3836065573770489E-3</v>
      </c>
      <c r="R16">
        <f t="shared" si="4"/>
        <v>3.4657639344262289E-2</v>
      </c>
    </row>
    <row r="17" spans="2:18" x14ac:dyDescent="0.3">
      <c r="B17">
        <f t="shared" si="0"/>
        <v>0.1702127659574468</v>
      </c>
      <c r="C17" t="s">
        <v>20</v>
      </c>
      <c r="D17">
        <v>8</v>
      </c>
      <c r="E17" t="s">
        <v>21</v>
      </c>
      <c r="F17" t="s">
        <v>22</v>
      </c>
      <c r="G17">
        <v>9.0399999999999991</v>
      </c>
      <c r="H17">
        <f t="shared" si="1"/>
        <v>1.0523864959254947E-2</v>
      </c>
      <c r="I17">
        <f t="shared" si="2"/>
        <v>9.5135739231664712E-2</v>
      </c>
      <c r="L17" t="s">
        <v>20</v>
      </c>
      <c r="M17">
        <v>8</v>
      </c>
      <c r="N17" t="s">
        <v>21</v>
      </c>
      <c r="O17" t="s">
        <v>22</v>
      </c>
      <c r="P17">
        <v>16.420000000000002</v>
      </c>
      <c r="Q17">
        <f t="shared" si="3"/>
        <v>2.6918032786885249E-3</v>
      </c>
      <c r="R17">
        <f t="shared" si="4"/>
        <v>4.4199409836065587E-2</v>
      </c>
    </row>
    <row r="18" spans="2:18" x14ac:dyDescent="0.3">
      <c r="B18">
        <f t="shared" si="0"/>
        <v>0.19148936170212766</v>
      </c>
      <c r="C18" t="s">
        <v>20</v>
      </c>
      <c r="D18">
        <v>9</v>
      </c>
      <c r="E18" t="s">
        <v>21</v>
      </c>
      <c r="F18" t="s">
        <v>22</v>
      </c>
      <c r="G18">
        <v>9.99</v>
      </c>
      <c r="H18">
        <f t="shared" si="1"/>
        <v>1.1629802095459838E-2</v>
      </c>
      <c r="I18">
        <f t="shared" si="2"/>
        <v>0.11618172293364379</v>
      </c>
      <c r="L18" t="s">
        <v>20</v>
      </c>
      <c r="M18">
        <v>9</v>
      </c>
      <c r="N18" t="s">
        <v>21</v>
      </c>
      <c r="O18" t="s">
        <v>22</v>
      </c>
      <c r="P18">
        <v>18.829999999999998</v>
      </c>
      <c r="Q18">
        <f t="shared" si="3"/>
        <v>3.086885245901639E-3</v>
      </c>
      <c r="R18">
        <f t="shared" si="4"/>
        <v>5.8126049180327856E-2</v>
      </c>
    </row>
    <row r="19" spans="2:18" x14ac:dyDescent="0.3">
      <c r="B19">
        <f t="shared" si="0"/>
        <v>0.21276595744680851</v>
      </c>
      <c r="C19" t="s">
        <v>20</v>
      </c>
      <c r="D19">
        <v>10</v>
      </c>
      <c r="E19" t="s">
        <v>21</v>
      </c>
      <c r="F19" t="s">
        <v>22</v>
      </c>
      <c r="G19">
        <v>11</v>
      </c>
      <c r="H19">
        <f t="shared" si="1"/>
        <v>1.2805587892898719E-2</v>
      </c>
      <c r="I19">
        <f t="shared" si="2"/>
        <v>0.14086146682188591</v>
      </c>
      <c r="L19" t="s">
        <v>20</v>
      </c>
      <c r="M19">
        <v>10</v>
      </c>
      <c r="N19" t="s">
        <v>21</v>
      </c>
      <c r="O19" t="s">
        <v>22</v>
      </c>
      <c r="P19">
        <v>21.05</v>
      </c>
      <c r="Q19">
        <f t="shared" si="3"/>
        <v>3.4508196721311475E-3</v>
      </c>
      <c r="R19">
        <f t="shared" si="4"/>
        <v>7.2639754098360654E-2</v>
      </c>
    </row>
    <row r="20" spans="2:18" x14ac:dyDescent="0.3">
      <c r="B20">
        <f t="shared" si="0"/>
        <v>0.23404255319148937</v>
      </c>
      <c r="C20" t="s">
        <v>20</v>
      </c>
      <c r="D20">
        <v>11</v>
      </c>
      <c r="E20" t="s">
        <v>21</v>
      </c>
      <c r="F20" t="s">
        <v>22</v>
      </c>
      <c r="G20">
        <v>12.2</v>
      </c>
      <c r="H20">
        <f t="shared" si="1"/>
        <v>1.420256111757858E-2</v>
      </c>
      <c r="I20">
        <f t="shared" si="2"/>
        <v>0.17327124563445867</v>
      </c>
    </row>
    <row r="21" spans="2:18" x14ac:dyDescent="0.3">
      <c r="B21">
        <f t="shared" si="0"/>
        <v>0.25531914893617019</v>
      </c>
      <c r="C21" t="s">
        <v>20</v>
      </c>
      <c r="D21">
        <v>12</v>
      </c>
      <c r="E21" t="s">
        <v>21</v>
      </c>
      <c r="F21" t="s">
        <v>22</v>
      </c>
      <c r="G21">
        <v>13.4</v>
      </c>
      <c r="H21">
        <f t="shared" si="1"/>
        <v>1.559953434225844E-2</v>
      </c>
      <c r="I21">
        <f t="shared" si="2"/>
        <v>0.2090337601862631</v>
      </c>
    </row>
    <row r="22" spans="2:18" x14ac:dyDescent="0.3">
      <c r="B22">
        <f t="shared" si="0"/>
        <v>0.27659574468085107</v>
      </c>
      <c r="C22" t="s">
        <v>20</v>
      </c>
      <c r="D22">
        <v>13</v>
      </c>
      <c r="E22" t="s">
        <v>21</v>
      </c>
      <c r="F22" t="s">
        <v>22</v>
      </c>
      <c r="G22">
        <v>14.75</v>
      </c>
      <c r="H22">
        <f t="shared" si="1"/>
        <v>1.7171129220023285E-2</v>
      </c>
      <c r="I22">
        <f t="shared" si="2"/>
        <v>0.25327415599534342</v>
      </c>
    </row>
    <row r="23" spans="2:18" x14ac:dyDescent="0.3">
      <c r="B23">
        <f t="shared" si="0"/>
        <v>0.2978723404255319</v>
      </c>
      <c r="C23" t="s">
        <v>20</v>
      </c>
      <c r="D23">
        <v>14</v>
      </c>
      <c r="E23" t="s">
        <v>21</v>
      </c>
      <c r="F23" t="s">
        <v>22</v>
      </c>
      <c r="G23">
        <v>15.92</v>
      </c>
      <c r="H23">
        <f t="shared" si="1"/>
        <v>1.8533178114086148E-2</v>
      </c>
      <c r="I23">
        <f t="shared" si="2"/>
        <v>0.29504819557625145</v>
      </c>
      <c r="L23" t="s">
        <v>33</v>
      </c>
    </row>
    <row r="24" spans="2:18" x14ac:dyDescent="0.3">
      <c r="B24">
        <f t="shared" si="0"/>
        <v>0.31914893617021278</v>
      </c>
      <c r="C24" t="s">
        <v>20</v>
      </c>
      <c r="D24">
        <v>15</v>
      </c>
      <c r="E24" t="s">
        <v>21</v>
      </c>
      <c r="F24" t="s">
        <v>22</v>
      </c>
      <c r="G24">
        <v>17.34</v>
      </c>
      <c r="H24">
        <f t="shared" si="1"/>
        <v>2.0186263096623983E-2</v>
      </c>
      <c r="I24">
        <f t="shared" si="2"/>
        <v>0.35002980209545986</v>
      </c>
      <c r="L24" t="s">
        <v>34</v>
      </c>
    </row>
    <row r="25" spans="2:18" x14ac:dyDescent="0.3">
      <c r="B25">
        <f t="shared" si="0"/>
        <v>0.34042553191489361</v>
      </c>
      <c r="C25" t="s">
        <v>20</v>
      </c>
      <c r="D25">
        <v>16</v>
      </c>
      <c r="E25" t="s">
        <v>21</v>
      </c>
      <c r="F25" t="s">
        <v>22</v>
      </c>
      <c r="G25">
        <v>18.350000000000001</v>
      </c>
      <c r="H25">
        <f t="shared" si="1"/>
        <v>2.1362048894062867E-2</v>
      </c>
      <c r="I25">
        <f t="shared" si="2"/>
        <v>0.39199359720605365</v>
      </c>
      <c r="L25" t="s">
        <v>35</v>
      </c>
    </row>
    <row r="26" spans="2:18" x14ac:dyDescent="0.3">
      <c r="B26">
        <f t="shared" si="0"/>
        <v>0.36170212765957449</v>
      </c>
      <c r="C26" t="s">
        <v>20</v>
      </c>
      <c r="D26">
        <v>17</v>
      </c>
      <c r="E26" t="s">
        <v>21</v>
      </c>
      <c r="F26" t="s">
        <v>22</v>
      </c>
      <c r="G26">
        <v>19.45</v>
      </c>
      <c r="H26">
        <f t="shared" si="1"/>
        <v>2.2642607683352734E-2</v>
      </c>
      <c r="I26">
        <f t="shared" si="2"/>
        <v>0.44039871944121067</v>
      </c>
    </row>
    <row r="27" spans="2:18" x14ac:dyDescent="0.3">
      <c r="B27">
        <f t="shared" si="0"/>
        <v>0.38297872340425532</v>
      </c>
      <c r="C27" t="s">
        <v>20</v>
      </c>
      <c r="D27">
        <v>18</v>
      </c>
      <c r="E27" t="s">
        <v>21</v>
      </c>
      <c r="F27" t="s">
        <v>22</v>
      </c>
      <c r="G27">
        <v>20.23</v>
      </c>
      <c r="H27">
        <f t="shared" si="1"/>
        <v>2.3550640279394644E-2</v>
      </c>
      <c r="I27">
        <f t="shared" si="2"/>
        <v>0.47642945285215366</v>
      </c>
    </row>
    <row r="28" spans="2:18" x14ac:dyDescent="0.3">
      <c r="B28">
        <f t="shared" si="0"/>
        <v>0.40425531914893614</v>
      </c>
      <c r="C28" t="s">
        <v>20</v>
      </c>
      <c r="D28">
        <v>19</v>
      </c>
      <c r="E28" t="s">
        <v>21</v>
      </c>
      <c r="F28" t="s">
        <v>22</v>
      </c>
      <c r="G28">
        <v>20.87</v>
      </c>
      <c r="H28">
        <f t="shared" si="1"/>
        <v>2.4295692665890573E-2</v>
      </c>
      <c r="I28">
        <f t="shared" si="2"/>
        <v>0.50705110593713631</v>
      </c>
    </row>
    <row r="29" spans="2:18" x14ac:dyDescent="0.3">
      <c r="B29">
        <f t="shared" si="0"/>
        <v>0.42553191489361702</v>
      </c>
      <c r="C29" t="s">
        <v>20</v>
      </c>
      <c r="D29">
        <v>20</v>
      </c>
      <c r="E29" t="s">
        <v>21</v>
      </c>
      <c r="F29" t="s">
        <v>22</v>
      </c>
      <c r="G29">
        <v>21.27</v>
      </c>
      <c r="H29">
        <f t="shared" si="1"/>
        <v>2.4761350407450523E-2</v>
      </c>
      <c r="I29">
        <f t="shared" si="2"/>
        <v>0.52667392316647266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1A2A6-0C4A-4FDE-8E03-87488015C94B}">
  <dimension ref="A2:U52"/>
  <sheetViews>
    <sheetView workbookViewId="0">
      <selection activeCell="F13" sqref="F13"/>
    </sheetView>
  </sheetViews>
  <sheetFormatPr defaultRowHeight="14.4" x14ac:dyDescent="0.3"/>
  <sheetData>
    <row r="2" spans="1:21" x14ac:dyDescent="0.3">
      <c r="B2" t="s">
        <v>14</v>
      </c>
      <c r="C2" t="s">
        <v>15</v>
      </c>
      <c r="D2" t="s">
        <v>27</v>
      </c>
      <c r="E2" t="s">
        <v>17</v>
      </c>
      <c r="F2" t="s">
        <v>18</v>
      </c>
      <c r="G2" t="s">
        <v>28</v>
      </c>
      <c r="M2" t="s">
        <v>14</v>
      </c>
      <c r="N2" t="s">
        <v>15</v>
      </c>
      <c r="O2" t="s">
        <v>27</v>
      </c>
      <c r="P2" t="s">
        <v>17</v>
      </c>
      <c r="Q2" t="s">
        <v>18</v>
      </c>
      <c r="R2" t="s">
        <v>28</v>
      </c>
    </row>
    <row r="3" spans="1:21" x14ac:dyDescent="0.3">
      <c r="I3" t="s">
        <v>39</v>
      </c>
      <c r="T3" t="s">
        <v>38</v>
      </c>
    </row>
    <row r="5" spans="1:21" x14ac:dyDescent="0.3">
      <c r="A5">
        <f>C5/47</f>
        <v>0</v>
      </c>
      <c r="B5" t="s">
        <v>20</v>
      </c>
      <c r="C5">
        <v>0</v>
      </c>
      <c r="D5">
        <v>47</v>
      </c>
      <c r="E5" t="s">
        <v>30</v>
      </c>
      <c r="F5">
        <v>0</v>
      </c>
      <c r="G5" t="s">
        <v>31</v>
      </c>
      <c r="H5">
        <v>0</v>
      </c>
      <c r="I5" t="s">
        <v>32</v>
      </c>
      <c r="J5">
        <v>17.38</v>
      </c>
      <c r="M5" t="s">
        <v>20</v>
      </c>
      <c r="N5">
        <v>0</v>
      </c>
      <c r="O5">
        <v>47</v>
      </c>
      <c r="P5" t="s">
        <v>30</v>
      </c>
      <c r="Q5">
        <v>0</v>
      </c>
      <c r="R5" t="s">
        <v>31</v>
      </c>
      <c r="S5">
        <v>0</v>
      </c>
      <c r="T5" t="s">
        <v>32</v>
      </c>
      <c r="U5">
        <v>14.85</v>
      </c>
    </row>
    <row r="6" spans="1:21" x14ac:dyDescent="0.3">
      <c r="A6">
        <f t="shared" ref="A6:A52" si="0">C6/47</f>
        <v>2.1276595744680851E-2</v>
      </c>
      <c r="B6" t="s">
        <v>20</v>
      </c>
      <c r="C6">
        <v>1</v>
      </c>
      <c r="D6">
        <v>47</v>
      </c>
      <c r="E6" t="s">
        <v>30</v>
      </c>
      <c r="F6">
        <v>0.21</v>
      </c>
      <c r="G6" t="s">
        <v>31</v>
      </c>
      <c r="H6">
        <v>0.54</v>
      </c>
      <c r="I6" t="s">
        <v>32</v>
      </c>
      <c r="J6">
        <v>17.38</v>
      </c>
      <c r="M6" t="s">
        <v>20</v>
      </c>
      <c r="N6">
        <v>1</v>
      </c>
      <c r="O6">
        <v>47</v>
      </c>
      <c r="P6" t="s">
        <v>30</v>
      </c>
      <c r="Q6">
        <v>0.22</v>
      </c>
      <c r="R6" t="s">
        <v>31</v>
      </c>
      <c r="S6">
        <v>0.54</v>
      </c>
      <c r="T6" t="s">
        <v>32</v>
      </c>
      <c r="U6">
        <v>14.91</v>
      </c>
    </row>
    <row r="7" spans="1:21" x14ac:dyDescent="0.3">
      <c r="A7">
        <f t="shared" si="0"/>
        <v>4.2553191489361701E-2</v>
      </c>
      <c r="B7" t="s">
        <v>20</v>
      </c>
      <c r="C7">
        <v>2</v>
      </c>
      <c r="D7">
        <v>47</v>
      </c>
      <c r="E7" t="s">
        <v>30</v>
      </c>
      <c r="F7">
        <v>0.43</v>
      </c>
      <c r="G7" t="s">
        <v>31</v>
      </c>
      <c r="H7">
        <v>0.99</v>
      </c>
      <c r="I7" t="s">
        <v>32</v>
      </c>
      <c r="J7">
        <v>17.38</v>
      </c>
      <c r="M7" t="s">
        <v>20</v>
      </c>
      <c r="N7">
        <v>2</v>
      </c>
      <c r="O7">
        <v>47</v>
      </c>
      <c r="P7" t="s">
        <v>30</v>
      </c>
      <c r="Q7">
        <v>0.41</v>
      </c>
      <c r="R7" t="s">
        <v>31</v>
      </c>
      <c r="S7">
        <v>1.0900000000000001</v>
      </c>
      <c r="T7" t="s">
        <v>32</v>
      </c>
      <c r="U7">
        <v>14.66</v>
      </c>
    </row>
    <row r="8" spans="1:21" x14ac:dyDescent="0.3">
      <c r="A8">
        <f t="shared" si="0"/>
        <v>6.3829787234042548E-2</v>
      </c>
      <c r="B8" t="s">
        <v>20</v>
      </c>
      <c r="C8">
        <v>3</v>
      </c>
      <c r="D8">
        <v>47</v>
      </c>
      <c r="E8" t="s">
        <v>30</v>
      </c>
      <c r="F8">
        <v>0.65</v>
      </c>
      <c r="G8" t="s">
        <v>31</v>
      </c>
      <c r="H8">
        <v>1.61</v>
      </c>
      <c r="I8" t="s">
        <v>32</v>
      </c>
      <c r="J8">
        <v>17.41</v>
      </c>
      <c r="M8" t="s">
        <v>20</v>
      </c>
      <c r="N8">
        <v>3</v>
      </c>
      <c r="O8">
        <v>47</v>
      </c>
      <c r="P8" t="s">
        <v>30</v>
      </c>
      <c r="Q8">
        <v>0.56000000000000005</v>
      </c>
      <c r="R8" t="s">
        <v>31</v>
      </c>
      <c r="S8">
        <v>1.51</v>
      </c>
      <c r="T8" t="s">
        <v>32</v>
      </c>
      <c r="U8">
        <v>14.66</v>
      </c>
    </row>
    <row r="9" spans="1:21" x14ac:dyDescent="0.3">
      <c r="A9">
        <f t="shared" si="0"/>
        <v>8.5106382978723402E-2</v>
      </c>
      <c r="B9" t="s">
        <v>20</v>
      </c>
      <c r="C9">
        <v>4</v>
      </c>
      <c r="D9">
        <v>47</v>
      </c>
      <c r="E9" t="s">
        <v>30</v>
      </c>
      <c r="F9">
        <v>0.89</v>
      </c>
      <c r="G9" t="s">
        <v>31</v>
      </c>
      <c r="H9">
        <v>1.89</v>
      </c>
      <c r="I9" t="s">
        <v>32</v>
      </c>
      <c r="J9">
        <v>17.47</v>
      </c>
      <c r="M9" t="s">
        <v>20</v>
      </c>
      <c r="N9">
        <v>4</v>
      </c>
      <c r="O9">
        <v>47</v>
      </c>
      <c r="P9" t="s">
        <v>30</v>
      </c>
      <c r="Q9">
        <v>0.86</v>
      </c>
      <c r="R9" t="s">
        <v>31</v>
      </c>
      <c r="S9">
        <v>2.14</v>
      </c>
      <c r="T9" t="s">
        <v>32</v>
      </c>
      <c r="U9">
        <v>14.91</v>
      </c>
    </row>
    <row r="10" spans="1:21" x14ac:dyDescent="0.3">
      <c r="A10">
        <f t="shared" si="0"/>
        <v>0.10638297872340426</v>
      </c>
      <c r="B10" t="s">
        <v>20</v>
      </c>
      <c r="C10">
        <v>5</v>
      </c>
      <c r="D10">
        <v>47</v>
      </c>
      <c r="E10" t="s">
        <v>30</v>
      </c>
      <c r="F10">
        <v>0.97</v>
      </c>
      <c r="G10" t="s">
        <v>31</v>
      </c>
      <c r="H10">
        <v>2.56</v>
      </c>
      <c r="I10" t="s">
        <v>32</v>
      </c>
      <c r="J10">
        <v>17.32</v>
      </c>
      <c r="M10" t="s">
        <v>20</v>
      </c>
      <c r="N10">
        <v>5</v>
      </c>
      <c r="O10">
        <v>47</v>
      </c>
      <c r="P10" t="s">
        <v>30</v>
      </c>
      <c r="Q10">
        <v>1.08</v>
      </c>
      <c r="R10" t="s">
        <v>31</v>
      </c>
      <c r="S10">
        <v>2.63</v>
      </c>
      <c r="T10" t="s">
        <v>32</v>
      </c>
      <c r="U10">
        <v>14.94</v>
      </c>
    </row>
    <row r="11" spans="1:21" x14ac:dyDescent="0.3">
      <c r="A11">
        <f t="shared" si="0"/>
        <v>0.1276595744680851</v>
      </c>
      <c r="B11" t="s">
        <v>20</v>
      </c>
      <c r="C11">
        <v>6</v>
      </c>
      <c r="D11">
        <v>47</v>
      </c>
      <c r="E11" t="s">
        <v>30</v>
      </c>
      <c r="F11">
        <v>1.19</v>
      </c>
      <c r="G11" t="s">
        <v>31</v>
      </c>
      <c r="H11">
        <v>3.13</v>
      </c>
      <c r="I11" t="s">
        <v>32</v>
      </c>
      <c r="J11">
        <v>17.29</v>
      </c>
      <c r="M11" t="s">
        <v>20</v>
      </c>
      <c r="N11">
        <v>6</v>
      </c>
      <c r="O11">
        <v>47</v>
      </c>
      <c r="P11" t="s">
        <v>30</v>
      </c>
      <c r="Q11">
        <v>1.17</v>
      </c>
      <c r="R11" t="s">
        <v>31</v>
      </c>
      <c r="S11">
        <v>3.15</v>
      </c>
      <c r="T11" t="s">
        <v>32</v>
      </c>
      <c r="U11">
        <v>14.72</v>
      </c>
    </row>
    <row r="12" spans="1:21" x14ac:dyDescent="0.3">
      <c r="A12">
        <f t="shared" si="0"/>
        <v>0.14893617021276595</v>
      </c>
      <c r="B12" t="s">
        <v>20</v>
      </c>
      <c r="C12">
        <v>7</v>
      </c>
      <c r="D12">
        <v>47</v>
      </c>
      <c r="E12" t="s">
        <v>30</v>
      </c>
      <c r="F12">
        <v>1.51</v>
      </c>
      <c r="G12" t="s">
        <v>31</v>
      </c>
      <c r="H12">
        <v>3.73</v>
      </c>
      <c r="I12" t="s">
        <v>32</v>
      </c>
      <c r="J12">
        <v>17.41</v>
      </c>
      <c r="M12" t="s">
        <v>20</v>
      </c>
      <c r="N12">
        <v>7</v>
      </c>
      <c r="O12">
        <v>47</v>
      </c>
      <c r="P12" t="s">
        <v>30</v>
      </c>
      <c r="Q12">
        <v>1.5</v>
      </c>
      <c r="R12" t="s">
        <v>31</v>
      </c>
      <c r="S12">
        <v>3.66</v>
      </c>
      <c r="T12" t="s">
        <v>32</v>
      </c>
      <c r="U12">
        <v>14.82</v>
      </c>
    </row>
    <row r="13" spans="1:21" x14ac:dyDescent="0.3">
      <c r="A13">
        <f t="shared" si="0"/>
        <v>0.1702127659574468</v>
      </c>
      <c r="B13" t="s">
        <v>20</v>
      </c>
      <c r="C13">
        <v>8</v>
      </c>
      <c r="D13">
        <v>47</v>
      </c>
      <c r="E13" t="s">
        <v>30</v>
      </c>
      <c r="F13">
        <v>1.74</v>
      </c>
      <c r="G13" t="s">
        <v>31</v>
      </c>
      <c r="H13">
        <v>4.2300000000000004</v>
      </c>
      <c r="I13" t="s">
        <v>32</v>
      </c>
      <c r="J13">
        <v>17.38</v>
      </c>
      <c r="M13" t="s">
        <v>20</v>
      </c>
      <c r="N13">
        <v>8</v>
      </c>
      <c r="O13">
        <v>47</v>
      </c>
      <c r="P13" t="s">
        <v>30</v>
      </c>
      <c r="Q13">
        <v>1.71</v>
      </c>
      <c r="R13" t="s">
        <v>31</v>
      </c>
      <c r="S13">
        <v>4.28</v>
      </c>
      <c r="T13" t="s">
        <v>32</v>
      </c>
      <c r="U13">
        <v>14.69</v>
      </c>
    </row>
    <row r="14" spans="1:21" x14ac:dyDescent="0.3">
      <c r="A14">
        <f t="shared" si="0"/>
        <v>0.19148936170212766</v>
      </c>
      <c r="B14" t="s">
        <v>20</v>
      </c>
      <c r="C14">
        <v>9</v>
      </c>
      <c r="D14">
        <v>47</v>
      </c>
      <c r="E14" t="s">
        <v>30</v>
      </c>
      <c r="F14">
        <v>1.76</v>
      </c>
      <c r="G14" t="s">
        <v>31</v>
      </c>
      <c r="H14">
        <v>4.7300000000000004</v>
      </c>
      <c r="I14" t="s">
        <v>32</v>
      </c>
      <c r="J14">
        <v>17.25</v>
      </c>
      <c r="M14" t="s">
        <v>20</v>
      </c>
      <c r="N14">
        <v>9</v>
      </c>
      <c r="O14">
        <v>47</v>
      </c>
      <c r="P14" t="s">
        <v>30</v>
      </c>
      <c r="Q14">
        <v>1.93</v>
      </c>
      <c r="R14" t="s">
        <v>31</v>
      </c>
      <c r="S14">
        <v>4.68</v>
      </c>
      <c r="T14" t="s">
        <v>32</v>
      </c>
      <c r="U14">
        <v>14.69</v>
      </c>
    </row>
    <row r="15" spans="1:21" x14ac:dyDescent="0.3">
      <c r="A15">
        <f t="shared" si="0"/>
        <v>0.21276595744680851</v>
      </c>
      <c r="B15" t="s">
        <v>20</v>
      </c>
      <c r="C15">
        <v>10</v>
      </c>
      <c r="D15">
        <v>47</v>
      </c>
      <c r="E15" t="s">
        <v>30</v>
      </c>
      <c r="F15">
        <v>2.29</v>
      </c>
      <c r="G15" t="s">
        <v>31</v>
      </c>
      <c r="H15">
        <v>5.35</v>
      </c>
      <c r="I15" t="s">
        <v>32</v>
      </c>
      <c r="J15">
        <v>17.29</v>
      </c>
      <c r="M15" t="s">
        <v>20</v>
      </c>
      <c r="N15">
        <v>10</v>
      </c>
      <c r="O15">
        <v>47</v>
      </c>
      <c r="P15" t="s">
        <v>30</v>
      </c>
      <c r="Q15">
        <v>2.13</v>
      </c>
      <c r="R15" t="s">
        <v>31</v>
      </c>
      <c r="S15">
        <v>5.3</v>
      </c>
      <c r="T15" t="s">
        <v>32</v>
      </c>
      <c r="U15">
        <v>14.72</v>
      </c>
    </row>
    <row r="16" spans="1:21" x14ac:dyDescent="0.3">
      <c r="A16">
        <f t="shared" si="0"/>
        <v>0.23404255319148937</v>
      </c>
      <c r="B16" t="s">
        <v>20</v>
      </c>
      <c r="C16">
        <v>11</v>
      </c>
      <c r="D16">
        <v>47</v>
      </c>
      <c r="E16" t="s">
        <v>30</v>
      </c>
      <c r="F16">
        <v>2.36</v>
      </c>
      <c r="G16" t="s">
        <v>31</v>
      </c>
      <c r="H16">
        <v>5.63</v>
      </c>
      <c r="I16" t="s">
        <v>32</v>
      </c>
      <c r="J16">
        <v>17.41</v>
      </c>
      <c r="M16" t="s">
        <v>20</v>
      </c>
      <c r="N16">
        <v>11</v>
      </c>
      <c r="O16">
        <v>47</v>
      </c>
      <c r="P16" t="s">
        <v>30</v>
      </c>
      <c r="Q16">
        <v>2.35</v>
      </c>
      <c r="R16" t="s">
        <v>31</v>
      </c>
      <c r="S16">
        <v>5.82</v>
      </c>
      <c r="T16" t="s">
        <v>32</v>
      </c>
      <c r="U16">
        <v>14.72</v>
      </c>
    </row>
    <row r="17" spans="1:21" x14ac:dyDescent="0.3">
      <c r="A17">
        <f t="shared" si="0"/>
        <v>0.25531914893617019</v>
      </c>
      <c r="B17" t="s">
        <v>20</v>
      </c>
      <c r="C17">
        <v>12</v>
      </c>
      <c r="D17">
        <v>47</v>
      </c>
      <c r="E17" t="s">
        <v>30</v>
      </c>
      <c r="F17">
        <v>2.52</v>
      </c>
      <c r="G17" t="s">
        <v>31</v>
      </c>
      <c r="H17">
        <v>6.55</v>
      </c>
      <c r="I17" t="s">
        <v>32</v>
      </c>
      <c r="J17">
        <v>17.190000000000001</v>
      </c>
      <c r="M17" t="s">
        <v>20</v>
      </c>
      <c r="N17">
        <v>12</v>
      </c>
      <c r="O17">
        <v>47</v>
      </c>
      <c r="P17" t="s">
        <v>30</v>
      </c>
      <c r="Q17">
        <v>2.58</v>
      </c>
      <c r="R17" t="s">
        <v>31</v>
      </c>
      <c r="S17">
        <v>6.34</v>
      </c>
      <c r="T17" t="s">
        <v>32</v>
      </c>
      <c r="U17">
        <v>14.75</v>
      </c>
    </row>
    <row r="18" spans="1:21" x14ac:dyDescent="0.3">
      <c r="A18">
        <f t="shared" si="0"/>
        <v>0.27659574468085107</v>
      </c>
      <c r="B18" t="s">
        <v>20</v>
      </c>
      <c r="C18">
        <v>13</v>
      </c>
      <c r="D18">
        <v>47</v>
      </c>
      <c r="E18" t="s">
        <v>30</v>
      </c>
      <c r="F18">
        <v>2.78</v>
      </c>
      <c r="G18" t="s">
        <v>31</v>
      </c>
      <c r="H18">
        <v>6.94</v>
      </c>
      <c r="I18" t="s">
        <v>32</v>
      </c>
      <c r="J18">
        <v>17.32</v>
      </c>
      <c r="M18" t="s">
        <v>20</v>
      </c>
      <c r="N18">
        <v>13</v>
      </c>
      <c r="O18">
        <v>47</v>
      </c>
      <c r="P18" t="s">
        <v>30</v>
      </c>
      <c r="Q18">
        <v>3</v>
      </c>
      <c r="R18" t="s">
        <v>31</v>
      </c>
      <c r="S18">
        <v>6.9</v>
      </c>
      <c r="T18" t="s">
        <v>32</v>
      </c>
      <c r="U18">
        <v>14.66</v>
      </c>
    </row>
    <row r="19" spans="1:21" x14ac:dyDescent="0.3">
      <c r="A19">
        <f t="shared" si="0"/>
        <v>0.2978723404255319</v>
      </c>
      <c r="B19" t="s">
        <v>20</v>
      </c>
      <c r="C19">
        <v>14</v>
      </c>
      <c r="D19">
        <v>47</v>
      </c>
      <c r="E19" t="s">
        <v>30</v>
      </c>
      <c r="F19">
        <v>2.85</v>
      </c>
      <c r="G19" t="s">
        <v>31</v>
      </c>
      <c r="H19">
        <v>7.37</v>
      </c>
      <c r="I19" t="s">
        <v>32</v>
      </c>
      <c r="J19">
        <v>17.190000000000001</v>
      </c>
      <c r="M19" t="s">
        <v>20</v>
      </c>
      <c r="N19">
        <v>14</v>
      </c>
      <c r="O19">
        <v>47</v>
      </c>
      <c r="P19" t="s">
        <v>30</v>
      </c>
      <c r="Q19">
        <v>3</v>
      </c>
      <c r="R19" t="s">
        <v>31</v>
      </c>
      <c r="S19">
        <v>7.39</v>
      </c>
      <c r="T19" t="s">
        <v>32</v>
      </c>
      <c r="U19">
        <v>14.69</v>
      </c>
    </row>
    <row r="20" spans="1:21" x14ac:dyDescent="0.3">
      <c r="A20">
        <f t="shared" si="0"/>
        <v>0.31914893617021278</v>
      </c>
      <c r="B20" t="s">
        <v>20</v>
      </c>
      <c r="C20">
        <v>15</v>
      </c>
      <c r="D20">
        <v>47</v>
      </c>
      <c r="E20" t="s">
        <v>30</v>
      </c>
      <c r="F20">
        <v>3.38</v>
      </c>
      <c r="G20" t="s">
        <v>31</v>
      </c>
      <c r="H20">
        <v>7.99</v>
      </c>
      <c r="I20" t="s">
        <v>32</v>
      </c>
      <c r="J20">
        <v>17.190000000000001</v>
      </c>
      <c r="M20" t="s">
        <v>20</v>
      </c>
      <c r="N20">
        <v>15</v>
      </c>
      <c r="O20">
        <v>47</v>
      </c>
      <c r="P20" t="s">
        <v>30</v>
      </c>
      <c r="Q20">
        <v>3.22</v>
      </c>
      <c r="R20" t="s">
        <v>31</v>
      </c>
      <c r="S20">
        <v>7.82</v>
      </c>
      <c r="T20" t="s">
        <v>32</v>
      </c>
      <c r="U20">
        <v>14.78</v>
      </c>
    </row>
    <row r="21" spans="1:21" x14ac:dyDescent="0.3">
      <c r="A21">
        <f t="shared" si="0"/>
        <v>0.34042553191489361</v>
      </c>
      <c r="B21" t="s">
        <v>20</v>
      </c>
      <c r="C21">
        <v>16</v>
      </c>
      <c r="D21">
        <v>47</v>
      </c>
      <c r="E21" t="s">
        <v>30</v>
      </c>
      <c r="F21">
        <v>3.5</v>
      </c>
      <c r="G21" t="s">
        <v>31</v>
      </c>
      <c r="H21">
        <v>8.49</v>
      </c>
      <c r="I21" t="s">
        <v>32</v>
      </c>
      <c r="J21">
        <v>17.16</v>
      </c>
      <c r="M21" t="s">
        <v>20</v>
      </c>
      <c r="N21">
        <v>16</v>
      </c>
      <c r="O21">
        <v>47</v>
      </c>
      <c r="P21" t="s">
        <v>30</v>
      </c>
      <c r="Q21">
        <v>3.5</v>
      </c>
      <c r="R21" t="s">
        <v>31</v>
      </c>
      <c r="S21">
        <v>8.4700000000000006</v>
      </c>
      <c r="T21" t="s">
        <v>32</v>
      </c>
      <c r="U21">
        <v>14.6</v>
      </c>
    </row>
    <row r="22" spans="1:21" x14ac:dyDescent="0.3">
      <c r="A22">
        <f t="shared" si="0"/>
        <v>0.36170212765957449</v>
      </c>
      <c r="B22" t="s">
        <v>20</v>
      </c>
      <c r="C22">
        <v>17</v>
      </c>
      <c r="D22">
        <v>47</v>
      </c>
      <c r="E22" t="s">
        <v>30</v>
      </c>
      <c r="F22">
        <v>3.7</v>
      </c>
      <c r="G22" t="s">
        <v>31</v>
      </c>
      <c r="H22">
        <v>9.01</v>
      </c>
      <c r="I22" t="s">
        <v>32</v>
      </c>
      <c r="J22">
        <v>17.16</v>
      </c>
      <c r="M22" t="s">
        <v>20</v>
      </c>
      <c r="N22">
        <v>17</v>
      </c>
      <c r="O22">
        <v>47</v>
      </c>
      <c r="P22" t="s">
        <v>30</v>
      </c>
      <c r="Q22">
        <v>3.64</v>
      </c>
      <c r="R22" t="s">
        <v>31</v>
      </c>
      <c r="S22">
        <v>8.7899999999999991</v>
      </c>
      <c r="T22" t="s">
        <v>32</v>
      </c>
      <c r="U22">
        <v>14.75</v>
      </c>
    </row>
    <row r="23" spans="1:21" x14ac:dyDescent="0.3">
      <c r="A23">
        <f t="shared" si="0"/>
        <v>0.38297872340425532</v>
      </c>
      <c r="B23" t="s">
        <v>20</v>
      </c>
      <c r="C23">
        <v>18</v>
      </c>
      <c r="D23">
        <v>47</v>
      </c>
      <c r="E23" t="s">
        <v>30</v>
      </c>
      <c r="F23">
        <v>3.76</v>
      </c>
      <c r="G23" t="s">
        <v>31</v>
      </c>
      <c r="H23">
        <v>9.64</v>
      </c>
      <c r="I23" t="s">
        <v>32</v>
      </c>
      <c r="J23">
        <v>17.25</v>
      </c>
      <c r="M23" t="s">
        <v>20</v>
      </c>
      <c r="N23">
        <v>18</v>
      </c>
      <c r="O23">
        <v>47</v>
      </c>
      <c r="P23" t="s">
        <v>30</v>
      </c>
      <c r="Q23">
        <v>3.86</v>
      </c>
      <c r="R23" t="s">
        <v>31</v>
      </c>
      <c r="S23">
        <v>9.56</v>
      </c>
      <c r="T23" t="s">
        <v>32</v>
      </c>
      <c r="U23">
        <v>14.72</v>
      </c>
    </row>
    <row r="24" spans="1:21" x14ac:dyDescent="0.3">
      <c r="A24">
        <f t="shared" si="0"/>
        <v>0.40425531914893614</v>
      </c>
      <c r="B24" t="s">
        <v>20</v>
      </c>
      <c r="C24">
        <v>19</v>
      </c>
      <c r="D24">
        <v>47</v>
      </c>
      <c r="E24" t="s">
        <v>30</v>
      </c>
      <c r="F24">
        <v>3.92</v>
      </c>
      <c r="G24" t="s">
        <v>31</v>
      </c>
      <c r="H24">
        <v>10.16</v>
      </c>
      <c r="I24" t="s">
        <v>32</v>
      </c>
      <c r="J24">
        <v>17.190000000000001</v>
      </c>
      <c r="M24" t="s">
        <v>20</v>
      </c>
      <c r="N24">
        <v>19</v>
      </c>
      <c r="O24">
        <v>47</v>
      </c>
      <c r="P24" t="s">
        <v>30</v>
      </c>
      <c r="Q24">
        <v>4.09</v>
      </c>
      <c r="R24" t="s">
        <v>31</v>
      </c>
      <c r="S24">
        <v>10.01</v>
      </c>
      <c r="T24" t="s">
        <v>32</v>
      </c>
      <c r="U24">
        <v>14.75</v>
      </c>
    </row>
    <row r="25" spans="1:21" x14ac:dyDescent="0.3">
      <c r="A25">
        <f t="shared" si="0"/>
        <v>0.42553191489361702</v>
      </c>
      <c r="B25" t="s">
        <v>20</v>
      </c>
      <c r="C25">
        <v>20</v>
      </c>
      <c r="D25">
        <v>47</v>
      </c>
      <c r="E25" t="s">
        <v>30</v>
      </c>
      <c r="F25">
        <v>4.29</v>
      </c>
      <c r="G25" t="s">
        <v>31</v>
      </c>
      <c r="H25">
        <v>10.63</v>
      </c>
      <c r="I25" t="s">
        <v>32</v>
      </c>
      <c r="J25">
        <v>17.29</v>
      </c>
      <c r="M25" t="s">
        <v>20</v>
      </c>
      <c r="N25">
        <v>20</v>
      </c>
      <c r="O25">
        <v>47</v>
      </c>
      <c r="P25" t="s">
        <v>30</v>
      </c>
      <c r="Q25">
        <v>4.3499999999999996</v>
      </c>
      <c r="R25" t="s">
        <v>31</v>
      </c>
      <c r="S25">
        <v>10.36</v>
      </c>
      <c r="T25" t="s">
        <v>32</v>
      </c>
      <c r="U25">
        <v>14.51</v>
      </c>
    </row>
    <row r="26" spans="1:21" x14ac:dyDescent="0.3">
      <c r="A26">
        <f t="shared" si="0"/>
        <v>0.44680851063829785</v>
      </c>
      <c r="B26" t="s">
        <v>20</v>
      </c>
      <c r="C26">
        <v>21</v>
      </c>
      <c r="D26">
        <v>47</v>
      </c>
      <c r="E26" t="s">
        <v>30</v>
      </c>
      <c r="F26">
        <v>4.67</v>
      </c>
      <c r="G26" t="s">
        <v>31</v>
      </c>
      <c r="H26">
        <v>11.13</v>
      </c>
      <c r="I26" t="s">
        <v>32</v>
      </c>
      <c r="J26">
        <v>17.16</v>
      </c>
      <c r="M26" t="s">
        <v>20</v>
      </c>
      <c r="N26">
        <v>21</v>
      </c>
      <c r="O26">
        <v>47</v>
      </c>
      <c r="P26" t="s">
        <v>30</v>
      </c>
      <c r="Q26">
        <v>4.5</v>
      </c>
      <c r="R26" t="s">
        <v>31</v>
      </c>
      <c r="S26">
        <v>11.13</v>
      </c>
      <c r="T26" t="s">
        <v>32</v>
      </c>
      <c r="U26">
        <v>14.63</v>
      </c>
    </row>
    <row r="27" spans="1:21" x14ac:dyDescent="0.3">
      <c r="A27">
        <f t="shared" si="0"/>
        <v>0.46808510638297873</v>
      </c>
      <c r="B27" t="s">
        <v>20</v>
      </c>
      <c r="C27">
        <v>22</v>
      </c>
      <c r="D27">
        <v>47</v>
      </c>
      <c r="E27" t="s">
        <v>30</v>
      </c>
      <c r="F27">
        <v>4.55</v>
      </c>
      <c r="G27" t="s">
        <v>31</v>
      </c>
      <c r="H27">
        <v>11.7</v>
      </c>
      <c r="I27" t="s">
        <v>32</v>
      </c>
      <c r="J27">
        <v>17.25</v>
      </c>
      <c r="M27" t="s">
        <v>20</v>
      </c>
      <c r="N27">
        <v>22</v>
      </c>
      <c r="O27">
        <v>47</v>
      </c>
      <c r="P27" t="s">
        <v>30</v>
      </c>
      <c r="Q27">
        <v>4.75</v>
      </c>
      <c r="R27" t="s">
        <v>31</v>
      </c>
      <c r="S27">
        <v>11.58</v>
      </c>
      <c r="T27" t="s">
        <v>32</v>
      </c>
      <c r="U27">
        <v>14.54</v>
      </c>
    </row>
    <row r="28" spans="1:21" x14ac:dyDescent="0.3">
      <c r="A28">
        <f t="shared" si="0"/>
        <v>0.48936170212765956</v>
      </c>
      <c r="B28" t="s">
        <v>20</v>
      </c>
      <c r="C28">
        <v>23</v>
      </c>
      <c r="D28">
        <v>47</v>
      </c>
      <c r="E28" t="s">
        <v>30</v>
      </c>
      <c r="F28">
        <v>4.93</v>
      </c>
      <c r="G28" t="s">
        <v>31</v>
      </c>
      <c r="H28">
        <v>12.18</v>
      </c>
      <c r="I28" t="s">
        <v>32</v>
      </c>
      <c r="J28">
        <v>17.25</v>
      </c>
      <c r="M28" t="s">
        <v>20</v>
      </c>
      <c r="N28">
        <v>23</v>
      </c>
      <c r="O28">
        <v>47</v>
      </c>
      <c r="P28" t="s">
        <v>30</v>
      </c>
      <c r="Q28">
        <v>5.07</v>
      </c>
      <c r="R28" t="s">
        <v>31</v>
      </c>
      <c r="S28">
        <v>12.23</v>
      </c>
      <c r="T28" t="s">
        <v>32</v>
      </c>
      <c r="U28">
        <v>14.69</v>
      </c>
    </row>
    <row r="29" spans="1:21" x14ac:dyDescent="0.3">
      <c r="A29">
        <f t="shared" si="0"/>
        <v>0.51063829787234039</v>
      </c>
      <c r="B29" t="s">
        <v>20</v>
      </c>
      <c r="C29">
        <v>24</v>
      </c>
      <c r="D29">
        <v>47</v>
      </c>
      <c r="E29" t="s">
        <v>30</v>
      </c>
      <c r="F29">
        <v>5.22</v>
      </c>
      <c r="G29" t="s">
        <v>31</v>
      </c>
      <c r="H29">
        <v>12.67</v>
      </c>
      <c r="I29" t="s">
        <v>32</v>
      </c>
      <c r="J29">
        <v>17.07</v>
      </c>
      <c r="M29" t="s">
        <v>20</v>
      </c>
      <c r="N29">
        <v>24</v>
      </c>
      <c r="O29">
        <v>47</v>
      </c>
      <c r="P29" t="s">
        <v>30</v>
      </c>
      <c r="Q29">
        <v>5.14</v>
      </c>
      <c r="R29" t="s">
        <v>31</v>
      </c>
      <c r="S29">
        <v>12.72</v>
      </c>
      <c r="T29" t="s">
        <v>32</v>
      </c>
      <c r="U29">
        <v>14.6</v>
      </c>
    </row>
    <row r="30" spans="1:21" x14ac:dyDescent="0.3">
      <c r="A30">
        <f t="shared" si="0"/>
        <v>0.53191489361702127</v>
      </c>
      <c r="B30" t="s">
        <v>20</v>
      </c>
      <c r="C30">
        <v>25</v>
      </c>
      <c r="D30">
        <v>47</v>
      </c>
      <c r="E30" t="s">
        <v>30</v>
      </c>
      <c r="F30">
        <v>5.33</v>
      </c>
      <c r="G30" t="s">
        <v>31</v>
      </c>
      <c r="H30">
        <v>13.27</v>
      </c>
      <c r="I30" t="s">
        <v>32</v>
      </c>
      <c r="J30">
        <v>17.22</v>
      </c>
      <c r="M30" t="s">
        <v>20</v>
      </c>
      <c r="N30">
        <v>25</v>
      </c>
      <c r="O30">
        <v>47</v>
      </c>
      <c r="P30" t="s">
        <v>30</v>
      </c>
      <c r="Q30">
        <v>5.4</v>
      </c>
      <c r="R30" t="s">
        <v>31</v>
      </c>
      <c r="S30">
        <v>13.05</v>
      </c>
      <c r="T30" t="s">
        <v>32</v>
      </c>
      <c r="U30">
        <v>14.6</v>
      </c>
    </row>
    <row r="31" spans="1:21" x14ac:dyDescent="0.3">
      <c r="A31">
        <f t="shared" si="0"/>
        <v>0.55319148936170215</v>
      </c>
      <c r="B31" t="s">
        <v>20</v>
      </c>
      <c r="C31">
        <v>26</v>
      </c>
      <c r="D31">
        <v>47</v>
      </c>
      <c r="E31" t="s">
        <v>30</v>
      </c>
      <c r="F31">
        <v>5.45</v>
      </c>
      <c r="G31" t="s">
        <v>31</v>
      </c>
      <c r="H31">
        <v>13.85</v>
      </c>
      <c r="I31" t="s">
        <v>32</v>
      </c>
      <c r="J31">
        <v>17.22</v>
      </c>
      <c r="M31" t="s">
        <v>20</v>
      </c>
      <c r="N31">
        <v>26</v>
      </c>
      <c r="O31">
        <v>47</v>
      </c>
      <c r="P31" t="s">
        <v>30</v>
      </c>
      <c r="Q31">
        <v>5.65</v>
      </c>
      <c r="R31" t="s">
        <v>31</v>
      </c>
      <c r="S31">
        <v>13.07</v>
      </c>
      <c r="T31" t="s">
        <v>32</v>
      </c>
      <c r="U31">
        <v>14.63</v>
      </c>
    </row>
    <row r="32" spans="1:21" x14ac:dyDescent="0.3">
      <c r="A32">
        <f t="shared" si="0"/>
        <v>0.57446808510638303</v>
      </c>
      <c r="B32" t="s">
        <v>20</v>
      </c>
      <c r="C32">
        <v>27</v>
      </c>
      <c r="D32">
        <v>47</v>
      </c>
      <c r="E32" t="s">
        <v>30</v>
      </c>
      <c r="F32">
        <v>5.8</v>
      </c>
      <c r="G32" t="s">
        <v>31</v>
      </c>
      <c r="H32">
        <v>14.27</v>
      </c>
      <c r="I32" t="s">
        <v>32</v>
      </c>
      <c r="J32">
        <v>17.16</v>
      </c>
      <c r="M32" t="s">
        <v>20</v>
      </c>
      <c r="N32">
        <v>27</v>
      </c>
      <c r="O32">
        <v>47</v>
      </c>
      <c r="P32" t="s">
        <v>30</v>
      </c>
      <c r="Q32">
        <v>5.87</v>
      </c>
      <c r="R32" t="s">
        <v>31</v>
      </c>
      <c r="S32">
        <v>13.02</v>
      </c>
      <c r="T32" t="s">
        <v>32</v>
      </c>
      <c r="U32">
        <v>14.54</v>
      </c>
    </row>
    <row r="33" spans="1:21" x14ac:dyDescent="0.3">
      <c r="A33">
        <f t="shared" si="0"/>
        <v>0.5957446808510638</v>
      </c>
      <c r="B33" t="s">
        <v>20</v>
      </c>
      <c r="C33">
        <v>28</v>
      </c>
      <c r="D33">
        <v>47</v>
      </c>
      <c r="E33" t="s">
        <v>30</v>
      </c>
      <c r="F33">
        <v>6.07</v>
      </c>
      <c r="G33" t="s">
        <v>31</v>
      </c>
      <c r="H33">
        <v>14.64</v>
      </c>
      <c r="I33" t="s">
        <v>32</v>
      </c>
      <c r="J33">
        <v>17.07</v>
      </c>
      <c r="M33" t="s">
        <v>20</v>
      </c>
      <c r="N33">
        <v>28</v>
      </c>
      <c r="O33">
        <v>47</v>
      </c>
      <c r="P33" t="s">
        <v>30</v>
      </c>
      <c r="Q33">
        <v>6.13</v>
      </c>
      <c r="R33" t="s">
        <v>31</v>
      </c>
      <c r="S33">
        <v>13.02</v>
      </c>
      <c r="T33" t="s">
        <v>32</v>
      </c>
      <c r="U33">
        <v>14.51</v>
      </c>
    </row>
    <row r="34" spans="1:21" x14ac:dyDescent="0.3">
      <c r="A34">
        <f t="shared" si="0"/>
        <v>0.61702127659574468</v>
      </c>
      <c r="B34" t="s">
        <v>20</v>
      </c>
      <c r="C34">
        <v>29</v>
      </c>
      <c r="D34">
        <v>47</v>
      </c>
      <c r="E34" t="s">
        <v>30</v>
      </c>
      <c r="F34">
        <v>6.15</v>
      </c>
      <c r="G34" t="s">
        <v>31</v>
      </c>
      <c r="H34">
        <v>15.39</v>
      </c>
      <c r="I34" t="s">
        <v>32</v>
      </c>
      <c r="J34">
        <v>17.22</v>
      </c>
      <c r="M34" t="s">
        <v>20</v>
      </c>
      <c r="N34">
        <v>29</v>
      </c>
      <c r="O34">
        <v>47</v>
      </c>
      <c r="P34" t="s">
        <v>30</v>
      </c>
      <c r="Q34">
        <v>6.11</v>
      </c>
      <c r="R34" t="s">
        <v>31</v>
      </c>
      <c r="S34">
        <v>13.05</v>
      </c>
      <c r="T34" t="s">
        <v>32</v>
      </c>
      <c r="U34">
        <v>14.63</v>
      </c>
    </row>
    <row r="35" spans="1:21" x14ac:dyDescent="0.3">
      <c r="A35">
        <f t="shared" si="0"/>
        <v>0.63829787234042556</v>
      </c>
      <c r="B35" t="s">
        <v>20</v>
      </c>
      <c r="C35">
        <v>30</v>
      </c>
      <c r="D35">
        <v>47</v>
      </c>
      <c r="E35" t="s">
        <v>30</v>
      </c>
      <c r="F35">
        <v>6.51</v>
      </c>
      <c r="G35" t="s">
        <v>31</v>
      </c>
      <c r="H35">
        <v>15.62</v>
      </c>
      <c r="I35" t="s">
        <v>32</v>
      </c>
      <c r="J35">
        <v>17.13</v>
      </c>
      <c r="M35" t="s">
        <v>20</v>
      </c>
      <c r="N35">
        <v>30</v>
      </c>
      <c r="O35">
        <v>47</v>
      </c>
      <c r="P35" t="s">
        <v>30</v>
      </c>
      <c r="Q35">
        <v>6.55</v>
      </c>
      <c r="R35" t="s">
        <v>31</v>
      </c>
      <c r="S35">
        <v>13</v>
      </c>
      <c r="T35" t="s">
        <v>32</v>
      </c>
      <c r="U35">
        <v>14.54</v>
      </c>
    </row>
    <row r="36" spans="1:21" x14ac:dyDescent="0.3">
      <c r="A36">
        <f t="shared" si="0"/>
        <v>0.65957446808510634</v>
      </c>
      <c r="B36" t="s">
        <v>20</v>
      </c>
      <c r="C36">
        <v>31</v>
      </c>
      <c r="D36">
        <v>47</v>
      </c>
      <c r="E36" t="s">
        <v>30</v>
      </c>
      <c r="F36">
        <v>6.77</v>
      </c>
      <c r="G36" t="s">
        <v>31</v>
      </c>
      <c r="H36">
        <v>15.51</v>
      </c>
      <c r="I36" t="s">
        <v>32</v>
      </c>
      <c r="J36">
        <v>17.100000000000001</v>
      </c>
      <c r="M36" t="s">
        <v>20</v>
      </c>
      <c r="N36">
        <v>31</v>
      </c>
      <c r="O36">
        <v>47</v>
      </c>
      <c r="P36" t="s">
        <v>30</v>
      </c>
      <c r="Q36">
        <v>6.86</v>
      </c>
      <c r="R36" t="s">
        <v>31</v>
      </c>
      <c r="S36">
        <v>13.12</v>
      </c>
      <c r="T36" t="s">
        <v>32</v>
      </c>
      <c r="U36">
        <v>14.6</v>
      </c>
    </row>
    <row r="37" spans="1:21" x14ac:dyDescent="0.3">
      <c r="A37">
        <f t="shared" si="0"/>
        <v>0.68085106382978722</v>
      </c>
      <c r="B37" t="s">
        <v>20</v>
      </c>
      <c r="C37">
        <v>32</v>
      </c>
      <c r="D37">
        <v>47</v>
      </c>
      <c r="E37" t="s">
        <v>30</v>
      </c>
      <c r="F37">
        <v>7.03</v>
      </c>
      <c r="G37" t="s">
        <v>31</v>
      </c>
      <c r="H37">
        <v>15.62</v>
      </c>
      <c r="I37" t="s">
        <v>32</v>
      </c>
      <c r="J37">
        <v>17.16</v>
      </c>
      <c r="M37" t="s">
        <v>20</v>
      </c>
      <c r="N37">
        <v>32</v>
      </c>
      <c r="O37">
        <v>47</v>
      </c>
      <c r="P37" t="s">
        <v>30</v>
      </c>
      <c r="Q37">
        <v>7.1</v>
      </c>
      <c r="R37" t="s">
        <v>31</v>
      </c>
      <c r="S37">
        <v>13.12</v>
      </c>
      <c r="T37" t="s">
        <v>32</v>
      </c>
      <c r="U37">
        <v>14.6</v>
      </c>
    </row>
    <row r="38" spans="1:21" x14ac:dyDescent="0.3">
      <c r="A38">
        <f t="shared" si="0"/>
        <v>0.7021276595744681</v>
      </c>
      <c r="B38" t="s">
        <v>20</v>
      </c>
      <c r="C38">
        <v>33</v>
      </c>
      <c r="D38">
        <v>47</v>
      </c>
      <c r="E38" t="s">
        <v>30</v>
      </c>
      <c r="F38">
        <v>7.09</v>
      </c>
      <c r="G38" t="s">
        <v>31</v>
      </c>
      <c r="H38">
        <v>15.49</v>
      </c>
      <c r="I38" t="s">
        <v>32</v>
      </c>
      <c r="J38">
        <v>17.100000000000001</v>
      </c>
      <c r="M38" t="s">
        <v>20</v>
      </c>
      <c r="N38">
        <v>33</v>
      </c>
      <c r="O38">
        <v>47</v>
      </c>
      <c r="P38" t="s">
        <v>30</v>
      </c>
      <c r="Q38">
        <v>7.17</v>
      </c>
      <c r="R38" t="s">
        <v>31</v>
      </c>
      <c r="S38">
        <v>13</v>
      </c>
      <c r="T38" t="s">
        <v>32</v>
      </c>
      <c r="U38">
        <v>14.51</v>
      </c>
    </row>
    <row r="39" spans="1:21" x14ac:dyDescent="0.3">
      <c r="A39">
        <f t="shared" si="0"/>
        <v>0.72340425531914898</v>
      </c>
      <c r="B39" t="s">
        <v>20</v>
      </c>
      <c r="C39">
        <v>34</v>
      </c>
      <c r="D39">
        <v>47</v>
      </c>
      <c r="E39" t="s">
        <v>30</v>
      </c>
      <c r="F39">
        <v>7.37</v>
      </c>
      <c r="G39" t="s">
        <v>31</v>
      </c>
      <c r="H39">
        <v>15.62</v>
      </c>
      <c r="I39" t="s">
        <v>32</v>
      </c>
      <c r="J39">
        <v>17.13</v>
      </c>
      <c r="M39" t="s">
        <v>20</v>
      </c>
      <c r="N39">
        <v>34</v>
      </c>
      <c r="O39">
        <v>47</v>
      </c>
      <c r="P39" t="s">
        <v>30</v>
      </c>
      <c r="Q39">
        <v>7.46</v>
      </c>
      <c r="R39" t="s">
        <v>31</v>
      </c>
      <c r="S39">
        <v>13.15</v>
      </c>
      <c r="T39" t="s">
        <v>32</v>
      </c>
      <c r="U39">
        <v>14.63</v>
      </c>
    </row>
    <row r="40" spans="1:21" x14ac:dyDescent="0.3">
      <c r="A40">
        <f t="shared" si="0"/>
        <v>0.74468085106382975</v>
      </c>
      <c r="B40" t="s">
        <v>20</v>
      </c>
      <c r="C40">
        <v>35</v>
      </c>
      <c r="D40">
        <v>47</v>
      </c>
      <c r="E40" t="s">
        <v>30</v>
      </c>
      <c r="F40">
        <v>7.51</v>
      </c>
      <c r="G40" t="s">
        <v>31</v>
      </c>
      <c r="H40">
        <v>15.54</v>
      </c>
      <c r="I40" t="s">
        <v>32</v>
      </c>
      <c r="J40">
        <v>17.16</v>
      </c>
      <c r="M40" t="s">
        <v>20</v>
      </c>
      <c r="N40">
        <v>35</v>
      </c>
      <c r="O40">
        <v>47</v>
      </c>
      <c r="P40" t="s">
        <v>30</v>
      </c>
      <c r="Q40">
        <v>7.61</v>
      </c>
      <c r="R40" t="s">
        <v>31</v>
      </c>
      <c r="S40">
        <v>12.95</v>
      </c>
      <c r="T40" t="s">
        <v>32</v>
      </c>
      <c r="U40">
        <v>14.48</v>
      </c>
    </row>
    <row r="41" spans="1:21" x14ac:dyDescent="0.3">
      <c r="A41">
        <f t="shared" si="0"/>
        <v>0.76595744680851063</v>
      </c>
      <c r="B41" t="s">
        <v>20</v>
      </c>
      <c r="C41">
        <v>36</v>
      </c>
      <c r="D41">
        <v>47</v>
      </c>
      <c r="E41" t="s">
        <v>30</v>
      </c>
      <c r="F41">
        <v>7.8</v>
      </c>
      <c r="G41" t="s">
        <v>31</v>
      </c>
      <c r="H41">
        <v>15.57</v>
      </c>
      <c r="I41" t="s">
        <v>32</v>
      </c>
      <c r="J41">
        <v>17.190000000000001</v>
      </c>
      <c r="M41" t="s">
        <v>20</v>
      </c>
      <c r="N41">
        <v>36</v>
      </c>
      <c r="O41">
        <v>47</v>
      </c>
      <c r="P41" t="s">
        <v>30</v>
      </c>
      <c r="Q41">
        <v>7.8</v>
      </c>
      <c r="R41" t="s">
        <v>31</v>
      </c>
      <c r="S41">
        <v>13.12</v>
      </c>
      <c r="T41" t="s">
        <v>32</v>
      </c>
      <c r="U41">
        <v>14.63</v>
      </c>
    </row>
    <row r="42" spans="1:21" x14ac:dyDescent="0.3">
      <c r="A42">
        <f t="shared" si="0"/>
        <v>0.78723404255319152</v>
      </c>
      <c r="B42" t="s">
        <v>20</v>
      </c>
      <c r="C42">
        <v>37</v>
      </c>
      <c r="D42">
        <v>47</v>
      </c>
      <c r="E42" t="s">
        <v>30</v>
      </c>
      <c r="F42">
        <v>7.75</v>
      </c>
      <c r="G42" t="s">
        <v>31</v>
      </c>
      <c r="H42">
        <v>15.62</v>
      </c>
      <c r="I42" t="s">
        <v>32</v>
      </c>
      <c r="J42">
        <v>17.25</v>
      </c>
      <c r="M42" t="s">
        <v>20</v>
      </c>
      <c r="N42">
        <v>37</v>
      </c>
      <c r="O42">
        <v>47</v>
      </c>
      <c r="P42" t="s">
        <v>30</v>
      </c>
      <c r="Q42">
        <v>8.02</v>
      </c>
      <c r="R42" t="s">
        <v>31</v>
      </c>
      <c r="S42">
        <v>13.07</v>
      </c>
      <c r="T42" t="s">
        <v>32</v>
      </c>
      <c r="U42">
        <v>14.6</v>
      </c>
    </row>
    <row r="43" spans="1:21" x14ac:dyDescent="0.3">
      <c r="A43">
        <f t="shared" si="0"/>
        <v>0.80851063829787229</v>
      </c>
      <c r="B43" t="s">
        <v>20</v>
      </c>
      <c r="C43">
        <v>38</v>
      </c>
      <c r="D43">
        <v>47</v>
      </c>
      <c r="E43" t="s">
        <v>30</v>
      </c>
      <c r="F43">
        <v>8.26</v>
      </c>
      <c r="G43" t="s">
        <v>31</v>
      </c>
      <c r="H43">
        <v>15.54</v>
      </c>
      <c r="I43" t="s">
        <v>32</v>
      </c>
      <c r="J43">
        <v>17.04</v>
      </c>
      <c r="M43" t="s">
        <v>20</v>
      </c>
      <c r="N43">
        <v>38</v>
      </c>
      <c r="O43">
        <v>47</v>
      </c>
      <c r="P43" t="s">
        <v>30</v>
      </c>
      <c r="Q43">
        <v>8.16</v>
      </c>
      <c r="R43" t="s">
        <v>31</v>
      </c>
      <c r="S43">
        <v>13.1</v>
      </c>
      <c r="T43" t="s">
        <v>32</v>
      </c>
      <c r="U43">
        <v>14.66</v>
      </c>
    </row>
    <row r="44" spans="1:21" x14ac:dyDescent="0.3">
      <c r="A44">
        <f t="shared" si="0"/>
        <v>0.82978723404255317</v>
      </c>
      <c r="B44" t="s">
        <v>20</v>
      </c>
      <c r="C44">
        <v>39</v>
      </c>
      <c r="D44">
        <v>47</v>
      </c>
      <c r="E44" t="s">
        <v>30</v>
      </c>
      <c r="F44">
        <v>8.43</v>
      </c>
      <c r="G44" t="s">
        <v>31</v>
      </c>
      <c r="H44">
        <v>15.69</v>
      </c>
      <c r="I44" t="s">
        <v>32</v>
      </c>
      <c r="J44">
        <v>17.22</v>
      </c>
      <c r="M44" t="s">
        <v>20</v>
      </c>
      <c r="N44">
        <v>39</v>
      </c>
      <c r="O44">
        <v>47</v>
      </c>
      <c r="P44" t="s">
        <v>30</v>
      </c>
      <c r="Q44">
        <v>8.49</v>
      </c>
      <c r="R44" t="s">
        <v>31</v>
      </c>
      <c r="S44">
        <v>13.12</v>
      </c>
      <c r="T44" t="s">
        <v>32</v>
      </c>
      <c r="U44">
        <v>14.6</v>
      </c>
    </row>
    <row r="45" spans="1:21" x14ac:dyDescent="0.3">
      <c r="A45">
        <f t="shared" si="0"/>
        <v>0.85106382978723405</v>
      </c>
      <c r="B45" t="s">
        <v>20</v>
      </c>
      <c r="C45">
        <v>40</v>
      </c>
      <c r="D45">
        <v>47</v>
      </c>
      <c r="E45" t="s">
        <v>30</v>
      </c>
      <c r="F45">
        <v>8.44</v>
      </c>
      <c r="G45" t="s">
        <v>31</v>
      </c>
      <c r="H45">
        <v>15.57</v>
      </c>
      <c r="I45" t="s">
        <v>32</v>
      </c>
      <c r="J45">
        <v>17.16</v>
      </c>
      <c r="M45" t="s">
        <v>20</v>
      </c>
      <c r="N45">
        <v>40</v>
      </c>
      <c r="O45">
        <v>47</v>
      </c>
      <c r="P45" t="s">
        <v>30</v>
      </c>
      <c r="Q45">
        <v>8.6300000000000008</v>
      </c>
      <c r="R45" t="s">
        <v>31</v>
      </c>
      <c r="S45">
        <v>13.12</v>
      </c>
      <c r="T45" t="s">
        <v>32</v>
      </c>
      <c r="U45">
        <v>14.6</v>
      </c>
    </row>
    <row r="46" spans="1:21" x14ac:dyDescent="0.3">
      <c r="A46">
        <f t="shared" si="0"/>
        <v>0.87234042553191493</v>
      </c>
      <c r="B46" t="s">
        <v>20</v>
      </c>
      <c r="C46">
        <v>41</v>
      </c>
      <c r="D46">
        <v>47</v>
      </c>
      <c r="E46" t="s">
        <v>30</v>
      </c>
      <c r="F46">
        <v>8.8800000000000008</v>
      </c>
      <c r="G46" t="s">
        <v>31</v>
      </c>
      <c r="H46">
        <v>15.51</v>
      </c>
      <c r="I46" t="s">
        <v>32</v>
      </c>
      <c r="J46">
        <v>17.010000000000002</v>
      </c>
      <c r="M46" t="s">
        <v>20</v>
      </c>
      <c r="N46">
        <v>41</v>
      </c>
      <c r="O46">
        <v>47</v>
      </c>
      <c r="P46" t="s">
        <v>30</v>
      </c>
      <c r="Q46">
        <v>8.84</v>
      </c>
      <c r="R46" t="s">
        <v>31</v>
      </c>
      <c r="S46">
        <v>12.97</v>
      </c>
      <c r="T46" t="s">
        <v>32</v>
      </c>
      <c r="U46">
        <v>14.57</v>
      </c>
    </row>
    <row r="47" spans="1:21" x14ac:dyDescent="0.3">
      <c r="A47">
        <f t="shared" si="0"/>
        <v>0.8936170212765957</v>
      </c>
      <c r="B47" t="s">
        <v>20</v>
      </c>
      <c r="C47">
        <v>42</v>
      </c>
      <c r="D47">
        <v>47</v>
      </c>
      <c r="E47" t="s">
        <v>30</v>
      </c>
      <c r="F47">
        <v>9.14</v>
      </c>
      <c r="G47" t="s">
        <v>31</v>
      </c>
      <c r="H47">
        <v>15.57</v>
      </c>
      <c r="I47" t="s">
        <v>32</v>
      </c>
      <c r="J47">
        <v>17.07</v>
      </c>
      <c r="M47" t="s">
        <v>20</v>
      </c>
      <c r="N47">
        <v>42</v>
      </c>
      <c r="O47">
        <v>47</v>
      </c>
      <c r="P47" t="s">
        <v>30</v>
      </c>
      <c r="Q47">
        <v>9.1</v>
      </c>
      <c r="R47" t="s">
        <v>31</v>
      </c>
      <c r="S47">
        <v>12.97</v>
      </c>
      <c r="T47" t="s">
        <v>32</v>
      </c>
      <c r="U47">
        <v>14.6</v>
      </c>
    </row>
    <row r="48" spans="1:21" x14ac:dyDescent="0.3">
      <c r="A48">
        <f t="shared" si="0"/>
        <v>0.91489361702127658</v>
      </c>
      <c r="B48" t="s">
        <v>20</v>
      </c>
      <c r="C48">
        <v>43</v>
      </c>
      <c r="D48">
        <v>47</v>
      </c>
      <c r="E48" t="s">
        <v>30</v>
      </c>
      <c r="F48">
        <v>9.3000000000000007</v>
      </c>
      <c r="G48" t="s">
        <v>31</v>
      </c>
      <c r="H48">
        <v>15.49</v>
      </c>
      <c r="I48" t="s">
        <v>32</v>
      </c>
      <c r="J48">
        <v>17.16</v>
      </c>
      <c r="M48" t="s">
        <v>20</v>
      </c>
      <c r="N48">
        <v>43</v>
      </c>
      <c r="O48">
        <v>47</v>
      </c>
      <c r="P48" t="s">
        <v>30</v>
      </c>
      <c r="Q48">
        <v>9.3000000000000007</v>
      </c>
      <c r="R48" t="s">
        <v>31</v>
      </c>
      <c r="S48">
        <v>13</v>
      </c>
      <c r="T48" t="s">
        <v>32</v>
      </c>
      <c r="U48">
        <v>14.45</v>
      </c>
    </row>
    <row r="49" spans="1:21" x14ac:dyDescent="0.3">
      <c r="A49">
        <f t="shared" si="0"/>
        <v>0.93617021276595747</v>
      </c>
      <c r="B49" t="s">
        <v>20</v>
      </c>
      <c r="C49">
        <v>44</v>
      </c>
      <c r="D49">
        <v>47</v>
      </c>
      <c r="E49" t="s">
        <v>30</v>
      </c>
      <c r="F49">
        <v>9.49</v>
      </c>
      <c r="G49" t="s">
        <v>31</v>
      </c>
      <c r="H49">
        <v>15.69</v>
      </c>
      <c r="I49" t="s">
        <v>32</v>
      </c>
      <c r="J49">
        <v>17.22</v>
      </c>
      <c r="M49" t="s">
        <v>20</v>
      </c>
      <c r="N49">
        <v>44</v>
      </c>
      <c r="O49">
        <v>47</v>
      </c>
      <c r="P49" t="s">
        <v>30</v>
      </c>
      <c r="Q49">
        <v>9.64</v>
      </c>
      <c r="R49" t="s">
        <v>31</v>
      </c>
      <c r="S49">
        <v>13.05</v>
      </c>
      <c r="T49" t="s">
        <v>32</v>
      </c>
      <c r="U49">
        <v>14.54</v>
      </c>
    </row>
    <row r="50" spans="1:21" x14ac:dyDescent="0.3">
      <c r="A50">
        <f t="shared" si="0"/>
        <v>0.95744680851063835</v>
      </c>
      <c r="B50" t="s">
        <v>20</v>
      </c>
      <c r="C50">
        <v>45</v>
      </c>
      <c r="D50">
        <v>47</v>
      </c>
      <c r="E50" t="s">
        <v>30</v>
      </c>
      <c r="F50">
        <v>9.77</v>
      </c>
      <c r="G50" t="s">
        <v>31</v>
      </c>
      <c r="H50">
        <v>15.57</v>
      </c>
      <c r="I50" t="s">
        <v>32</v>
      </c>
      <c r="J50">
        <v>17.07</v>
      </c>
      <c r="M50" t="s">
        <v>20</v>
      </c>
      <c r="N50">
        <v>45</v>
      </c>
      <c r="O50">
        <v>47</v>
      </c>
      <c r="P50" t="s">
        <v>30</v>
      </c>
      <c r="Q50">
        <v>9.77</v>
      </c>
      <c r="R50" t="s">
        <v>31</v>
      </c>
      <c r="S50">
        <v>13</v>
      </c>
      <c r="T50" t="s">
        <v>32</v>
      </c>
      <c r="U50">
        <v>14.54</v>
      </c>
    </row>
    <row r="51" spans="1:21" x14ac:dyDescent="0.3">
      <c r="A51">
        <f t="shared" si="0"/>
        <v>0.97872340425531912</v>
      </c>
      <c r="B51" t="s">
        <v>20</v>
      </c>
      <c r="C51">
        <v>46</v>
      </c>
      <c r="D51">
        <v>47</v>
      </c>
      <c r="E51" t="s">
        <v>30</v>
      </c>
      <c r="F51">
        <v>9.9499999999999993</v>
      </c>
      <c r="G51" t="s">
        <v>31</v>
      </c>
      <c r="H51">
        <v>15.54</v>
      </c>
      <c r="I51" t="s">
        <v>32</v>
      </c>
      <c r="J51">
        <v>17.16</v>
      </c>
      <c r="M51" t="s">
        <v>20</v>
      </c>
      <c r="N51">
        <v>46</v>
      </c>
      <c r="O51">
        <v>47</v>
      </c>
      <c r="P51" t="s">
        <v>30</v>
      </c>
      <c r="Q51">
        <v>9.9700000000000006</v>
      </c>
      <c r="R51" t="s">
        <v>31</v>
      </c>
      <c r="S51">
        <v>13.1</v>
      </c>
      <c r="T51" t="s">
        <v>32</v>
      </c>
      <c r="U51">
        <v>14.57</v>
      </c>
    </row>
    <row r="52" spans="1:21" x14ac:dyDescent="0.3">
      <c r="A52">
        <f t="shared" si="0"/>
        <v>1</v>
      </c>
      <c r="B52" t="s">
        <v>20</v>
      </c>
      <c r="C52">
        <v>47</v>
      </c>
      <c r="D52">
        <v>47</v>
      </c>
      <c r="E52" t="s">
        <v>30</v>
      </c>
      <c r="F52">
        <v>10.16</v>
      </c>
      <c r="G52" t="s">
        <v>31</v>
      </c>
      <c r="H52">
        <v>15.49</v>
      </c>
      <c r="I52" t="s">
        <v>32</v>
      </c>
      <c r="J52">
        <v>17.13</v>
      </c>
      <c r="M52" t="s">
        <v>20</v>
      </c>
      <c r="N52">
        <v>47</v>
      </c>
      <c r="O52">
        <v>47</v>
      </c>
      <c r="P52" t="s">
        <v>30</v>
      </c>
      <c r="Q52">
        <v>10.17</v>
      </c>
      <c r="R52" t="s">
        <v>31</v>
      </c>
      <c r="S52">
        <v>13</v>
      </c>
      <c r="T52" t="s">
        <v>32</v>
      </c>
      <c r="U52">
        <v>14.48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</vt:lpstr>
      <vt:lpstr>V_BOST Sweep</vt:lpstr>
      <vt:lpstr>VPP_VDD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tboes</dc:creator>
  <cp:lastModifiedBy>tboes</cp:lastModifiedBy>
  <dcterms:created xsi:type="dcterms:W3CDTF">2025-11-30T10:34:22Z</dcterms:created>
  <dcterms:modified xsi:type="dcterms:W3CDTF">2026-01-31T17:47:51Z</dcterms:modified>
</cp:coreProperties>
</file>